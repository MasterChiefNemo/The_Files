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Names (From Wikipedia list of n" sheetId="2" r:id="rId6"/>
    <sheet state="hidden" name="Organizations" sheetId="3" r:id="rId7"/>
    <sheet state="visible" name="If You Are ________, You May Wa" sheetId="4" r:id="rId8"/>
  </sheets>
  <definedNames>
    <definedName hidden="1" localSheetId="1" name="_xlnm._FilterDatabase">'Names (From Wikipedia list of n'!$A$1:$L$146</definedName>
  </definedNames>
  <calcPr/>
</workbook>
</file>

<file path=xl/sharedStrings.xml><?xml version="1.0" encoding="utf-8"?>
<sst xmlns="http://schemas.openxmlformats.org/spreadsheetml/2006/main" count="4350" uniqueCount="2673">
  <si>
    <t>The Consumer's Guide to the Epstein Files</t>
  </si>
  <si>
    <t>A Buyers Guide Based on the Wikipedia list of names associated with the Jeffrey Epstein files</t>
  </si>
  <si>
    <t>Updated 2/17/2026</t>
  </si>
  <si>
    <t>What This Document Is For</t>
  </si>
  <si>
    <r>
      <rPr>
        <rFont val="Arial"/>
        <color rgb="FF333333"/>
        <sz val="11.0"/>
      </rPr>
      <t xml:space="preserve">The Epstein Files feel impossible to read, and even harder to do anything about. 
This document offers summaries of how closely individuals were connected to Epstein, and how you might spend money at a place that benefits them.
This document makes no accusations or claims that aren't public knowledge - but seeing as the files are so difficult to search, this document aims to make the information summarized and actionable. 
</t>
    </r>
    <r>
      <rPr>
        <rFont val="Arial"/>
        <b/>
        <color rgb="FF333333"/>
        <sz val="11.0"/>
      </rPr>
      <t xml:space="preserve">The most important column is Column H: "How a normal consumer could give money to this person". </t>
    </r>
    <r>
      <rPr>
        <rFont val="Arial"/>
        <color rgb="FF333333"/>
        <sz val="11.0"/>
      </rPr>
      <t xml:space="preserve">This column helps you see ways to avoid giving to the people you judge to be undeserving. But the judgement is yours. 
</t>
    </r>
    <r>
      <rPr>
        <rFont val="Arial"/>
        <i/>
        <color rgb="FF333333"/>
        <sz val="11.0"/>
      </rPr>
      <t>The rest of this document is written by a stock-trained LLM</t>
    </r>
    <r>
      <rPr>
        <rFont val="Arial"/>
        <color rgb="FF333333"/>
        <sz val="11.0"/>
      </rPr>
      <t>, which I did intentionally, to keep my opinions minimized. (I did inject my thinking into the Model's explanations on this page.) More is explained below.</t>
    </r>
  </si>
  <si>
    <t>If You Are _____, You Should Know ______ (Tab 3, sorts by category)</t>
  </si>
  <si>
    <t>The "If You Are X, Know Y" tab sorts Epstein-connected names into eight everyday spending categories — tech, retail, sports, entertainment, travel, health, food, and charitable giving — so readers can quickly see which connections are relevant to how they already spend their money, including which ones are "subtle" enough that most consumers would never know without looking. The "Consequences" column shows whether the connected individual has experienced consequences as a result of their connection to Epstein. For details on those consequences, you'll need to search the name in the main table.</t>
  </si>
  <si>
    <t>Vote With Your Wallet</t>
  </si>
  <si>
    <t>If you need an outlet — rather than calling for violence, or launching aimless strikes without a clear goal or set of demands — you can find the people you might be unknowingly paying on this list and vote with your wallet.
If enough people care — and enough people do — then the portfolios and companies will be hurt until they apply social and legal pressure on the people who benefit from them to remove that benefit.
It is frustrating that not everyone on this list can be affected by consumer spending. Many are retired politicians, career diplomats, or academics with no consumer-facing businesses. Even worse, some companies provide services so integral that you can't avoid supporting them. (This is on a Google Sheet, after all.) But the purpose of this list is to show individual consumers who can be affected via spending choices.
I feel bad. I know there are innocents on this list. But if we can make association with Epstein and those activities so toxic that it carries real economic consequences, we can discourage the next Epstein from ever happening — by proving that these people and their companies are not untouchable.</t>
  </si>
  <si>
    <t>What Would "Enough" Look Like</t>
  </si>
  <si>
    <t xml:space="preserve">I believe any strike or boycott needs to have a defined purpose. I leave it to someone else to rally the masses around a unified goal, but here is my rough thinking:
If a company pressures or divests an associated individual of their shares, separates them from the company, and removes their financial benefit — that is enough for me, and I'd buy from that company again. But you get to decide what you need.
If any of these billionaires or figures of influence were to submit themselves to a fair trial, work with people like Rep. Thomas Massie (R-Ky.) and Rep. Ro Khanna (D-Calif.) to provide the evidence needed to actually pursue more of these people — I would happily allow that individual to continue running their companies after having served their sentence and joined a sex offender registry. (Or, in the case of more heinous crimes that legally get life in prison or the death sentence, I just want the law to be followed)
Again, you get to decide what your "Enough" looks like. </t>
  </si>
  <si>
    <t>Where These Names Come From</t>
  </si>
  <si>
    <r>
      <rPr>
        <rFont val="Arial"/>
        <color rgb="FF333333"/>
        <sz val="11.0"/>
      </rPr>
      <t>Every name in this document is drawn from the Wikipedia article "</t>
    </r>
    <r>
      <rPr>
        <rFont val="Arial"/>
        <color rgb="FF1155CC"/>
        <sz val="11.0"/>
        <u/>
      </rPr>
      <t>List of people named in the Epstein files</t>
    </r>
    <r>
      <rPr>
        <rFont val="Arial"/>
        <color rgb="FF333333"/>
        <sz val="11.0"/>
      </rPr>
      <t>" I personally cross checked with the DOJ Epstein Files site as much as I could, but it's a big task.</t>
    </r>
  </si>
  <si>
    <t>How This Document Was Made</t>
  </si>
  <si>
    <t xml:space="preserve">This entire document was produced by a large language model (LLM) with no memory activated. That is a deliberate choice.
The LLM does not know who I am. It does not have my biases, my political leanings, or my personal feelings about any individual on this list. I did not editorialize or write any descriptions. The LLM synthesized publicly available information and compiled it into a structured format.
I made this choice because I do not want this to be an opinion document where one person gets to pass judgment. This is purely informative since the Epstein files are so hard to read through and social media is full of disinformation. </t>
  </si>
  <si>
    <t>Do Your Own Research</t>
  </si>
  <si>
    <t>Not everyone named in this list participated in crimes. That is important enough to say twice: not everyone on this list is guilty of anything.
Some people attended a dinner. Some flew on a plane. Some received a donation. Some are convicted criminals. The spectrum is enormous, and this document tries to reflect that range through the "Presumed Closeness" and "Connection Type" columns — but those are imperfect tools.
Please look through the actual source documents yourself. There are not as many files about any individual as you might expect, because many are duplicates of responses within the same email thread.</t>
  </si>
  <si>
    <t>🔍  HOW TO SEARCH THE FILES YOURSELF</t>
  </si>
  <si>
    <r>
      <rPr>
        <rFont val="Arial"/>
        <color rgb="FF333333"/>
        <sz val="11.0"/>
      </rPr>
      <t xml:space="preserve">The released Epstein files can be searched at:
</t>
    </r>
    <r>
      <rPr>
        <rFont val="Arial"/>
        <color rgb="FF1155CC"/>
        <sz val="11.0"/>
        <u/>
      </rPr>
      <t>https://www.justice.gov/epstein</t>
    </r>
    <r>
      <rPr>
        <rFont val="Arial"/>
        <color rgb="FF333333"/>
        <sz val="11.0"/>
      </rPr>
      <t xml:space="preserve">
Use the search bar on that page (make sure it's the right search bar) to look up any name. Read the actual source documents and their footnotes. Draw your own conclusions.
I have been contacted by someone with the resources to build a more user-friendly, shareable search tool linked to this list. Until that is built, the link above is the best resource I know of, though I'm sure people have made better ones.</t>
    </r>
  </si>
  <si>
    <t>Understanding the Columns</t>
  </si>
  <si>
    <t>▸ Name</t>
  </si>
  <si>
    <t>Full name of the individual.</t>
  </si>
  <si>
    <t>▸ Presumed Closeness</t>
  </si>
  <si>
    <t>A rating (Low, Moderate, High, Very High) estimating how close the relationship with Epstein appears to have been, based on evidence in the released files. This is imperfect — see the note on imperfections below.</t>
  </si>
  <si>
    <t>▸ Connection Type</t>
  </si>
  <si>
    <t>How the person was connected: Social, Business, Academic, Political, Legal, Criminal, etc., with a brief summary of the key evidence.</t>
  </si>
  <si>
    <t>▸ Close after Epstein's Initial Arrest?</t>
  </si>
  <si>
    <t>Whether contact continued after Epstein's 2008 conviction and sex offender registration. This is a key moral line: knowing what he was and staying close anyway.</t>
  </si>
  <si>
    <t>▸ Post 2008 Arrest Notes</t>
  </si>
  <si>
    <t>What kind of contact continued after 2008, citing specific emails, texts, visits, and dates from the released files.</t>
  </si>
  <si>
    <t>▸ Consequences So Far?</t>
  </si>
  <si>
    <t>Professional, legal, financial, or reputational fallout from the Epstein connection. This column is often sobering — many individuals retained their wealth and positions despite public outrage.</t>
  </si>
  <si>
    <t>▸ Connected Organizations</t>
  </si>
  <si>
    <t>Companies, nonprofits, government positions, and institutions the person is affiliated with.</t>
  </si>
  <si>
    <t>▸ How a normal consumer could give money to this person</t>
  </si>
  <si>
    <t>Specific, actionable ways you might be directing money toward this individual — sometimes without realizing it.</t>
  </si>
  <si>
    <t>▸ Easy to give your money to?</t>
  </si>
  <si>
    <t>How likely a typical consumer is to accidentally enrich this person. Ranges from NOT APPLICABLE (deceased/incarcerated) to EXTREMELY EASY. A ⚠️ SUBTLE flag marks cases where the money flow is indirect and non-obvious.</t>
  </si>
  <si>
    <t>Imperfections</t>
  </si>
  <si>
    <t xml:space="preserve">
• Job titles and corporate roles change faster than this document can be updated. Someone listed as a CEO may have resigned last week.
• The "Consequences" column may lag behind real-world developments.
• Some entries contain more detail than others, reflecting the unevenness of available public reporting.
If you spot an error, send feedback to doe364318@gmail.com. You can also reach out to @dyslexiaa01 on TikTok about this data. I will pass any reasonable or evidence-based corrections to the LLM to make edits.</t>
  </si>
  <si>
    <t>Name Removals</t>
  </si>
  <si>
    <t>When I asked an LLM to look over this list for victims and figures that the files clearly show as unrelated to Epstein's illegal operations, this is what it returned. As this document has no human opinion, I followed it's guidance.
"Strongest cases for removal:
Dalai Lama (Tenzin Gyatso) — Tibetan scholars read through all 168 file entries mentioning the Dalai Lama and found that all mentions were "third-party, speculative, or aspirational." Phayul His office stated he never met Epstein or authorized any interaction with him. Hong Kong Free Press The files show Epstein was trying to arrange a meeting but apparently never succeeded.
Stephen Hawking — He attended a scientific conference on Epstein's island in 2006, before Epstein was charged. Hawking, who died in 2018, was never accused of any crime related to Epstein. Euronews One file reference from a victim deposition actually states there was no sexual contact with Hawking.
Michael Jackson — Appears only in photos at social events. Witness Johanna Sjoberg testified she met Jackson once at Epstein's mansion and stated unequivocally that she had not performed a massage for him. Fandom Jackson's former bodyguard stated the meeting was incidental. Fandom He died in 2009.
Potential victims (should be removed for different reasons):
Nadia Marcinko — A CNN article stated that Marcinko may be a "victim" of Epstein as well as an "accomplice." Wikipedia Court records indicate Epstein reportedly acquired her from her family as a teenager. Her situation is complex, but she may well be a trafficking victim.
Ashley Massaro — Named as a possible employee of Maxwell, but the context of her mention suggests she may have been victimized. She died in 2019.
Karyna Shuliak — Epstein's girlfriend who was brought to the US as a young woman; some reporting frames her as someone whose life was controlled by Epstein (arranged her immigration, schooling, even a sham marriage for her visa).
I'd strongly recommend including a disclaimer with the list noting that appearing in the Epstein files does not imply wrongdoing, and that the DOJ's own list deliberately included names regardless of context. Without that framing, sharing any version of this list risks implying guilt by association for people who may have done nothing wrong."</t>
  </si>
  <si>
    <t>Name</t>
  </si>
  <si>
    <t>Presumed Closeness</t>
  </si>
  <si>
    <t>Connection Type</t>
  </si>
  <si>
    <t xml:space="preserve">Close after Epstein's Initial Arrest? </t>
  </si>
  <si>
    <t>Connection Post-2008 Arrest Notes</t>
  </si>
  <si>
    <t>Consequences So Far?</t>
  </si>
  <si>
    <t xml:space="preserve">Connected Organizations </t>
  </si>
  <si>
    <t>How a normal consumer could give money to this person</t>
  </si>
  <si>
    <t>Easy to give your money to?</t>
  </si>
  <si>
    <t>Name Sorter - First</t>
  </si>
  <si>
    <t>Name Sorter - Last</t>
  </si>
  <si>
    <t>Woody Allen</t>
  </si>
  <si>
    <t>High</t>
  </si>
  <si>
    <t>Social – regular dinner guest at townhouse from 2010; photographed together on private plane</t>
  </si>
  <si>
    <t>Yes</t>
  </si>
  <si>
    <t>Regular guest at Epstein's townhouse from 2010 onward. Wrote in Epstein's 63rd birthday book. Epstein attended Allen's film screenings/editing sessions. 2015 emails show Epstein arranging a White House visit for Allen.</t>
  </si>
  <si>
    <t>No consequences specifically from appearing in the Epstein files. His pre-existing sexual abuse allegations (related to Dylan Farrow) had already caused major professional fallout including lost publishing and film distribution deals, but these were not Epstein-related.</t>
  </si>
  <si>
    <t>• Buy or stream his films (e.g., on Amazon Prime, Apple TV, DVD/Blu-ray purchases — royalties flow to him)
• Purchase his books (e.g., "Apropos of Nothing")
• Attend his jazz performances in NYC</t>
  </si>
  <si>
    <t>EASY — his films are widely available on streaming and physical media.</t>
  </si>
  <si>
    <t>Woody</t>
  </si>
  <si>
    <t>Allen</t>
  </si>
  <si>
    <t>Anil Ambani</t>
  </si>
  <si>
    <t>Moderate</t>
  </si>
  <si>
    <t>Political/Business – introduced via bin Sulayem; sought White House connections; visited townhouse</t>
  </si>
  <si>
    <t>2017 emails show Epstein suggesting a 'tall Swedish blonde woman' to Ambani, who responded 'Arrange that.' Visited Epstein's Manhattan townhouse in 2019 on Modi's re-election day.</t>
  </si>
  <si>
    <t>No known consequences from Epstein connection.</t>
  </si>
  <si>
    <t>• Use Reliance Communications telecom services (primarily India)
• Invest through Reliance Capital financial products (India)
• Use Reliance Power electricity (India)</t>
  </si>
  <si>
    <t>DIFFICULT outside India — his companies are India-focused B2B/infrastructure; virtually no global consumer-facing products.</t>
  </si>
  <si>
    <t>Anil</t>
  </si>
  <si>
    <t>Ambani</t>
  </si>
  <si>
    <t>Eva Andersson-Dubin</t>
  </si>
  <si>
    <t>Very High</t>
  </si>
  <si>
    <t>Personal – Epstein's girlfriend for 11 years; 18+ flights on his planes (1996–2005)</t>
  </si>
  <si>
    <t>Among earliest to resume contact after 2008. Wrote to Epstein's probation officer in 2009 saying she was '100% comfortable' with him around her children. Invited him for Thanksgiving 2009. Invited him to visit when her 15-year-old daughter had friends over (2010 email).</t>
  </si>
  <si>
    <t>• Donate to the Dubin Breast Center at Mount Sinai
• Donate to the Breast Cancer Alliance
• Donate to the Dubin Family Foundation</t>
  </si>
  <si>
    <t>MODERATE — she's reachable via charitable donations, especially breast cancer causes.</t>
  </si>
  <si>
    <t>Eva</t>
  </si>
  <si>
    <t>Andersson-Dubin</t>
  </si>
  <si>
    <t>Dan Ariely</t>
  </si>
  <si>
    <t>Academic/Social – longstanding relationship; personal email exchanges</t>
  </si>
  <si>
    <t>Unclear</t>
  </si>
  <si>
    <t>Ariely appears in the files but specific post-2008 evidence from the released documents is limited. Known to have attended Epstein-funded events.</t>
  </si>
  <si>
    <t>Faced renewed scrutiny after the January 30, 2026 DOJ file release, which named him 636 times and revealed at least seven meetings with Epstein from 2010–2016 and correspondence through 2019, including a request for the "name and email of the redhead" Epstein had introduced him to. Duke University closed the Center for Advanced Hindsight, which Ariely founded and ran, on February 6, 2026 — one week after the file release. Duke says the closure was part of a strategic realignment decided in December and is unrelated to the Epstein revelations; the timing has been widely noted. Ariely claimed he met Epstein "only four occasions" despite files showing at least seven. Separately faced academic fraud allegations (data fabrication) beginning in 2021 that damaged his career, though these were not directly caused by the Epstein connection.</t>
  </si>
  <si>
    <t>• Buy Lemonade insurance (renters, homeowners, pet, life — widely available US app)
• Buy a Shapa smart scale
• Buy his bestselling books ("Predictably Irrational," etc.)
• Back or buy Genie kitchen appliance products</t>
  </si>
  <si>
    <t>EASY — Lemonade is a mainstream consumer insurance product available via app stores.</t>
  </si>
  <si>
    <t>Dan</t>
  </si>
  <si>
    <t>Ariely</t>
  </si>
  <si>
    <t>Peter Attia</t>
  </si>
  <si>
    <t>Close Associate – name appeared 1,700+ times in files; acknowledged Epstein's "outrageous" lifestyle</t>
  </si>
  <si>
    <t>Met Epstein in 2014; name appears ~1,800 times in files. Extensive email correspondence through spring 2019. Discussed visiting Epstein's island and ranch. Made crude jokes in emails. Apologized publicly.</t>
  </si>
  <si>
    <t>Stepped down from his position as science officer for a protein bar manufacturer and lost his position as an adviser for a sleep tech company after appearing in the files (his name appeared over 1,700 times). CBS News decided to keep him as a contributor.</t>
  </si>
  <si>
    <t>• Subscribe to his paid podcast/newsletter ("The Peter Attia Drive" premium membership)
• Buy his bestselling book "Outlive: The Science &amp; Art of Longevity"
• Become a patient at Early Medical (concierge medicine, very expensive)</t>
  </si>
  <si>
    <t>EASY — book is a major bestseller; podcast subscriptions are straightforward.</t>
  </si>
  <si>
    <t>Peter</t>
  </si>
  <si>
    <t>Attia</t>
  </si>
  <si>
    <t>José María Aznar</t>
  </si>
  <si>
    <t>Low</t>
  </si>
  <si>
    <t>Peripheral – received two unspecified parcels (2003–2004)</t>
  </si>
  <si>
    <t>Limited evidence in the released files of continued contact after 2008.</t>
  </si>
  <si>
    <t>• Subscribe to News Corp properties (Wall Street Journal, NY Post, Fox Nation, HarperCollins books) — he earns director fees
• Donate to FAES (Spanish think tank)</t>
  </si>
  <si>
    <t>⚠️ SUBTLE — INDIRECT — consumer money flows to News Corp, a tiny fraction of which funds his board compensation.</t>
  </si>
  <si>
    <t>José María</t>
  </si>
  <si>
    <t>Aznar</t>
  </si>
  <si>
    <t>Joscha Bach</t>
  </si>
  <si>
    <t>Academic/Funding – received Epstein-funded research support via MIT Media Lab; lengthy email exchanges</t>
  </si>
  <si>
    <t>Appears in files in connection with scientific/intellectual circles but specific post-2008 evidence is limited.</t>
  </si>
  <si>
    <t>• Donate to the California Institute for Machine Consciousness (CIMC)
• Use Liquid AI products if/when available to consumers</t>
  </si>
  <si>
    <t>VERY DIFFICULT — his work is in AI research and enterprise tech with no consumer-facing products currently.</t>
  </si>
  <si>
    <t>Joscha</t>
  </si>
  <si>
    <t>Bach</t>
  </si>
  <si>
    <t>Steve Bannon</t>
  </si>
  <si>
    <t>Political/Strategic – thousands of text messages (2018–2019); discussed geopolitics; offered use of properties and plane; provided media training</t>
  </si>
  <si>
    <t>Exchanged hundreds of friendly texts, many in 2018-2019. Discussed politics, travel, and a documentary to rehabilitate Epstein's reputation. Asked to use Epstein's plane in 2019.</t>
  </si>
  <si>
    <t>No known consequences specifically from Epstein connection. His legal troubles (fraud charges, contempt of Congress) were unrelated.</t>
  </si>
  <si>
    <t>• Visit Breitbart News (generates ad revenue)
• Listen to/support War Room podcast (ads, donations, merchandise)
• Donate to the Government Accountability Institute
• Purchase his documentary films</t>
  </si>
  <si>
    <t>EASY — Breitbart and War Room are free, ad-supported media with large audiences.</t>
  </si>
  <si>
    <t>Steve</t>
  </si>
  <si>
    <t>Bannon</t>
  </si>
  <si>
    <t>Ehud Barak</t>
  </si>
  <si>
    <t>Political/Business – email and recorded correspondence; Epstein brokered meetings and business contacts on his behalf</t>
  </si>
  <si>
    <t>Stayed in regular contact for years after 2008. 2017 plans for a stay at Epstein's New York residence. Multiple correspondences documented. Met with Chomsky through Epstein's arrangement.</t>
  </si>
  <si>
    <t>His relationship with Epstein became a significant political liability in Israeli elections. Photos of him visiting Epstein's residence were published. Faced sustained media scrutiny and political attacks. His political career, already declining, was further damaged. While his political career was damaged, Barak retains significant wealth from his post-politics business career, including technology investments and consulting. His net worth has been estimated in the tens of millions of dollars.</t>
  </si>
  <si>
    <t>• Purchase Canndoc/InterCure medical cannabis products (primarily Israel)</t>
  </si>
  <si>
    <t>DIFFICULT — his main commercial venture is Israeli medical cannabis, not widely available to international consumers.</t>
  </si>
  <si>
    <t>Ehud</t>
  </si>
  <si>
    <t>Barak</t>
  </si>
  <si>
    <t>Tom Barrack</t>
  </si>
  <si>
    <t>Business/Social – regular close contact; mutual home visits; introduced each other to diplomats and investors; post-conviction contact</t>
  </si>
  <si>
    <t>Over 100 texts and email exchanges show regular, close contact for years after 2008 conviction, continuing even after Barrack became a Trump fundraiser.</t>
  </si>
  <si>
    <t>No known consequences specifically from Epstein connection. His federal indictment (2021) was related to foreign lobbying, not Epstein.</t>
  </si>
  <si>
    <t>• Rent a home from Colony Starwood Homes (single-family rental portfolio)
• Invest in DigitalBridge-managed funds (accredited investors)</t>
  </si>
  <si>
    <t>⚠️ SUBTLE — MODERATE — Colony Starwood renters directly pay into his empire, but most consumers wouldn't know it. Currently serving as ambassador (no active business role).</t>
  </si>
  <si>
    <t>Tom</t>
  </si>
  <si>
    <t>Barrack</t>
  </si>
  <si>
    <t>Sergei Belyakov</t>
  </si>
  <si>
    <t>Diplomatic – email contact; Epstein shared intelligence about a "Russian girl"</t>
  </si>
  <si>
    <t>Yes (limited)</t>
  </si>
  <si>
    <t>Epstein reached out to Belyakov in 2015 to gather information on a Russian woman connected to Leon Black. Contact appears operational rather than social.</t>
  </si>
  <si>
    <t>• Shop on Ozon.ru (Russia's largest e-commerce platform — like Amazon for Russia)</t>
  </si>
  <si>
    <t>DIFFICULT — Ozon is Russia-only; he left in 2024. No current consumer-facing role for international consumers.</t>
  </si>
  <si>
    <t>Sergei</t>
  </si>
  <si>
    <t>Belyakov</t>
  </si>
  <si>
    <t>Leon Black</t>
  </si>
  <si>
    <t>Financial – paid Epstein approximately $158 million (2012–2017) for financial and tax advice, with some reports citing a broader total near $170 million including earlier payments; referred to as "Mr. Big"; JPMorgan suspicious activity report filed</t>
  </si>
  <si>
    <t>Paid Epstein $158 million from 2012-2017 for financial/tax advice. Deep financial and personal entanglement. Epstein was involved in Black's personal affairs including managing a blackmail situation.</t>
  </si>
  <si>
    <t>Stepped down as CEO of Apollo Global Management in March 2021 after it was revealed he had paid Epstein $158 million for tax and estate advice. Also stepped down as Apollo chairman. Faced a lawsuit from a woman alleging rape (which he denied). One of the most significant professional consequences of anyone on this list. Despite stepping down as CEO and chairman, Black remains Apollo's largest individual shareholder with ~37.96M shares (~6.5% of the company), currently valued at approximately $5 billion. He also holds ~5.5M shares indirectly through his spouse. He continues to benefit from Apollo's growth (AUM now ~$840B) and receives dividends. He runs a family office (Elysium Management) that invests in real estate and private equity. He retains a world-class art collection (including Munch's 'The Scream') and luxury properties in New York and London. Bloomberg estimates his net worth at approximately $14B. He paid $62.5M to the USVI to settle Epstein-related claims, and saved an estimated $1.3B in taxes via Epstein's strategies — far exceeding the $158M he paid Epstein. The 'consequence' of stepping down has had minimal financial impact.</t>
  </si>
  <si>
    <t>• Apollo owns or controls many consumer-touching companies (e.g., Rackspace, ADT predecessor, Shutterfly, Smart &amp; Final, Chuck E. Cheese parent, Yahoo/AOL assets, etc.)
• Consumer spending at Apollo portfolio companies indirectly benefits him as largest shareholder</t>
  </si>
  <si>
    <t>⚠️ SUBTLE — INDIRECT but WIDESPREAD — Apollo's portfolio is vast; consumers likely already spend at Apollo-owned businesses without knowing it.</t>
  </si>
  <si>
    <t>Leon</t>
  </si>
  <si>
    <t>Black</t>
  </si>
  <si>
    <t>Todd Boehly</t>
  </si>
  <si>
    <t>Business – two arranged meetings in 2011; no evidence of relationship beyond business</t>
  </si>
  <si>
    <t>Limited evidence in released files of continued post-2008 contact.</t>
  </si>
  <si>
    <t>• Buy Chelsea FC tickets, merchandise, or streaming packages
• Attend LA Dodgers games or buy merch
• Watch A24 films (tickets, streaming purchases)
• Subscribe to Rolling Stone, Variety, Billboard, or Hollywood Reporter
• Use Dick Clark Productions content (New Year's Rockin' Eve, etc.)</t>
  </si>
  <si>
    <t>EASY and MULTIPLE ROUTES — Chelsea, Dodgers, A24 films, and major media brands are all mainstream consumer products.</t>
  </si>
  <si>
    <t>Todd</t>
  </si>
  <si>
    <t>Boehly</t>
  </si>
  <si>
    <t>Ana Botella</t>
  </si>
  <si>
    <t>Peripheral – listed as parcel recipient alongside husband Aznar (see Aznar)</t>
  </si>
  <si>
    <t>Limited evidence in released files. Wife of José María Aznar.</t>
  </si>
  <si>
    <t>• No direct consumer-facing businesses or donation routes
• Indirect: Madrid municipal services when she was mayor (2011–2015)</t>
  </si>
  <si>
    <t>VERY DIFFICULT — she is a retired politician with no commercial or nonprofit consumer channels.</t>
  </si>
  <si>
    <t>Ana</t>
  </si>
  <si>
    <t>Botella</t>
  </si>
  <si>
    <t>Leon Botstein</t>
  </si>
  <si>
    <t>Academic/Fundraising – met Epstein multiple times post-conviction; solicited and received donations for Bard College; received ~$150K via Epstein-linked account</t>
  </si>
  <si>
    <t>Met Epstein numerous times after 2008. Solicited donations for Bard College. Invited Epstein to opera (2013) and concert (2016). Received ~$150K from Epstein-linked account in 2016.</t>
  </si>
  <si>
    <t>Faced scrutiny as president of Bard College for having accepted Epstein donations. No resignation or formal disciplinary action.</t>
  </si>
  <si>
    <t>• Pay Bard College tuition (~$62K/year)
• Buy concert tickets for American Symphony Orchestra or The Orchestra Now
• Attend Bard SummerScape / Bard Music Festival events
• Donate to Bard College</t>
  </si>
  <si>
    <t>MODERATE — concert tickets and festival attendance are accessible; tuition is a major but niche route.</t>
  </si>
  <si>
    <t>Botstein</t>
  </si>
  <si>
    <t>Edward Boyden</t>
  </si>
  <si>
    <t>Academic – attended 2015 Palo Alto dinner hosted by Reid Hoffman; mentioned in Epstein emails</t>
  </si>
  <si>
    <t>Appears in files related to scientific funding circles but specific post-2008 evidence is limited.</t>
  </si>
  <si>
    <t>• Purchase Elemind sleep/neurotech devices (if commercially available)
• Donate to MIT earmarked for his lab
• Donate to Howard Hughes Medical Institute</t>
  </si>
  <si>
    <t>DIFFICULT currently — his startups are mostly pre-consumer or clinical-stage; may change as neurotech products launch.</t>
  </si>
  <si>
    <t>Edward</t>
  </si>
  <si>
    <t>Boyden</t>
  </si>
  <si>
    <t>Richard Branson</t>
  </si>
  <si>
    <t>Social/Business – familiar email relationship; invited Epstein to visit; referenced Epstein's "harem"</t>
  </si>
  <si>
    <t>2013 email told Epstein he'd be happy to meet 'as long as you bring your harem!' Counseled Epstein to get Bill Gates to vouch for him after sex offender registration.</t>
  </si>
  <si>
    <t>No known consequences from Epstein connection beyond media questions about Epstein visiting Necker Island.</t>
  </si>
  <si>
    <t>• Fly Virgin Atlantic (or formerly Virgin Australia/America)
• Book Virgin Hotels or Virgin Holidays
• Buy a ticket on Virgin Galactic ($450K)
• Use Virgin Mobile (in markets where it still operates)
• Stay at Virgin Limited Edition luxury properties
• Shop Virgin Wines, Virgin Experience Days
• Donate to Virgin Unite</t>
  </si>
  <si>
    <t>VERY EASY and MANY ROUTES — Virgin is one of the world's most consumer-facing brands across travel, hospitality, telecom, and entertainment.</t>
  </si>
  <si>
    <t>Richard</t>
  </si>
  <si>
    <t>Branson</t>
  </si>
  <si>
    <t>Børge Brende</t>
  </si>
  <si>
    <t>Political/Social – 120+ emails and texts; guest at multiple Epstein dinners in NYC</t>
  </si>
  <si>
    <t>As head of WEF, maintained contact with Epstein. Files show correspondence and meetings after 2008.</t>
  </si>
  <si>
    <t>The World Economic Forum launched an internal investigation in February 2026 to clarify the nature of Brende's dealings with Epstein after files revealed he had several business dinners with Epstein in 2018-2019. Brende said he regretted not looking into Epstein's history. Investigation ongoing.</t>
  </si>
  <si>
    <t>• Attend WEF events (Davos tickets cost ~$50K+ for membership)
• Donate to WEF initiatives (but primarily institutional)</t>
  </si>
  <si>
    <t>VERY DIFFICULT — WEF is an elite institutional organization; normal consumers have essentially no way to direct money to him.</t>
  </si>
  <si>
    <t>Børge</t>
  </si>
  <si>
    <t>Brende</t>
  </si>
  <si>
    <t>Flavio Briatore</t>
  </si>
  <si>
    <t>Social – email contact; referred to by Epstein as "my Italian friend"</t>
  </si>
  <si>
    <t>No known consequences specifically from Epstein connection.</t>
  </si>
  <si>
    <t>• Dine at Billionaire nightclubs/restaurants (locations in Italy, Saudi Arabia, etc.)
• Visit Twiga nightclubs (Montecarlo, London, etc. — sold 2025 but may still carry brand)
• Buy Billionaire Italian Couture luxury clothing
• Attend Formula 1 events (indirect — Alpine F1)</t>
  </si>
  <si>
    <t>EASY if you're in the right cities — his hospitality venues and fashion brand are directly consumer-facing, though luxury-priced.</t>
  </si>
  <si>
    <t>Flavio</t>
  </si>
  <si>
    <t>Briatore</t>
  </si>
  <si>
    <t>Sergey Brin</t>
  </si>
  <si>
    <t>Social – visited Epstein's private island; corresponded with Maxwell about dinners</t>
  </si>
  <si>
    <t>Visited Epstein's island. Made plans to visit Epstein's New York home. Correspondence documented in files.</t>
  </si>
  <si>
    <t>• Use Google products (Search, Gmail, YouTube, Google Maps, Android, Google Cloud, Google Play, Pixel phones, Nest devices, Fitbit, Waymo)
• Watch YouTube (ad revenue) or subscribe to YouTube Premium
• Buy apps/media on Google Play Store
• Click on Google Ads (the core revenue engine)
• Use Google Workspace (paid business/personal plans)</t>
  </si>
  <si>
    <t>⚠️ SUBTLE — EXTREMELY EASY — virtually every internet user already sends money to Brin daily. Google/Alphabet is inescapable.</t>
  </si>
  <si>
    <t>Sergey</t>
  </si>
  <si>
    <t>Brin</t>
  </si>
  <si>
    <t>John Brockman</t>
  </si>
  <si>
    <t>Professional/Funding – Epstein was biggest donor to Brockman's Edge Foundation; co-organized private dinners with Silicon Valley billionaires</t>
  </si>
  <si>
    <t>Continued hosting Epstein-funded events and private dinners with Silicon Valley billionaires well after 2008. In 2018, boasted to Epstein about the net worth of his 'billionaires dinner' attendees. Epstein advised him on diversity.</t>
  </si>
  <si>
    <t>Faced significant scrutiny as the literary agent who facilitated many connections to Epstein through the Edge Foundation. The Edge Foundation effectively shut down in 2019. Several prominent scientists distanced themselves from Brockman. While the Edge Foundation effectively shut down in 2019, Brockman's literary agency (Brockman Inc.) has continued to operate. He built a career as one of the most powerful literary agents in science publishing, representing hundreds of prominent scientists and intellectuals. The agency's client list and revenue streams were not publicly reported to have been significantly affected.</t>
  </si>
  <si>
    <t>• Buy books by Brockman's literary clients (he represents top scientists/thinkers — Daniel Kahneman, Steven Pinker, Richard Dawkins, etc.; he earns agent commissions)
• Buy Brockman's own edited anthologies ("This Idea Must Die," etc.)
• Donate to Edge Foundation</t>
  </si>
  <si>
    <t>⚠️ SUBTLE — MODERATE — you're indirectly paying him whenever you buy a book by one of his many famous clients.</t>
  </si>
  <si>
    <t>John</t>
  </si>
  <si>
    <t>Brockman</t>
  </si>
  <si>
    <t>David Brooks</t>
  </si>
  <si>
    <t>Peripheral – attended a 2011 event; appears in several photos with Epstein</t>
  </si>
  <si>
    <t>Appears in photos from a 2011 event with Epstein (after 2008 conviction). Wrote a 2025 NYT column dismissing Epstein media coverage.</t>
  </si>
  <si>
    <t>• Subscribe to The New York Times (his salary through 2025)
• Subscribe to The Atlantic (his current employer)
• Buy his books ("The Second Mountain," "How to Know a Person," etc.)
• Donate to the Aspen Institute / Weave Project</t>
  </si>
  <si>
    <t>EASY — NYT and Atlantic subscriptions are mainstream; his books are bestsellers.</t>
  </si>
  <si>
    <t>David</t>
  </si>
  <si>
    <t>Brooks</t>
  </si>
  <si>
    <t>Jean-Luc Brunel</t>
  </si>
  <si>
    <t>Criminal Associate – model scout funded by Epstein; 25 flights on private plane; 70+ jail visits; charged with crimes</t>
  </si>
  <si>
    <t>Visited Epstein in jail at least 70 times during 2008 sentence. Listed in 2012 trust for up to $5 million. Continued discussing 'girls' and travel in emails. Later arrested in France; died by suicide in 2022.</t>
  </si>
  <si>
    <t>Arrested in France in December 2020 on charges of rape of minors and sexual harassment tied to Epstein's trafficking network. Found dead in his prison cell in February 2022 in an apparent suicide while awaiting trial. Among the most severe consequences of anyone connected to Epstein.</t>
  </si>
  <si>
    <t>• No current consumer routes — MC2 dissolved in 2019; Brunel died in 2022
• Historically: hire models from his agencies for commercial work</t>
  </si>
  <si>
    <t>NOT APPLICABLE — deceased (2022), all businesses dissolved.</t>
  </si>
  <si>
    <t>Jean-Luc</t>
  </si>
  <si>
    <t>Brunel</t>
  </si>
  <si>
    <t>William Burns</t>
  </si>
  <si>
    <t>Professional – three meetings in 2014 while Deputy Secretary of State; described as career-transition advice</t>
  </si>
  <si>
    <t>Scheduling documents show three meetings with Epstein in 2014, when Burns was deputy secretary of state.</t>
  </si>
  <si>
    <t>No known consequences from Epstein connection. Confirmed as CIA Director in 2021 despite the association being publicly known.</t>
  </si>
  <si>
    <t>• Buy his memoir/books ("The Back Channel")
• Donate to Carnegie Endowment for International Peace (his former org)</t>
  </si>
  <si>
    <t>VERY DIFFICULT — career government/intelligence official with no commercial ventures. Book sales are the only direct route.</t>
  </si>
  <si>
    <t>William</t>
  </si>
  <si>
    <t>Burns</t>
  </si>
  <si>
    <t>Naomi Campbell</t>
  </si>
  <si>
    <t>Social – frequently exchanged event invitations; invited to island and flights; Epstein used her name to recruit</t>
  </si>
  <si>
    <t>Appears in files and contact book but specific post-2008 evidence from released documents is limited.</t>
  </si>
  <si>
    <t>• Buy products/brands she models for or endorses
• Watch her TV appearances (e.g., "The Super Models" docuseries)
• Previously: donate to Fashion for Relief (now closed)</t>
  </si>
  <si>
    <t>MODERATE — consumer money flows indirectly through brands she represents; no current direct-to-consumer business.</t>
  </si>
  <si>
    <t>Naomi</t>
  </si>
  <si>
    <t>Campbell</t>
  </si>
  <si>
    <t>Nick Candy</t>
  </si>
  <si>
    <t>Business – appeared in emails since 2004; offered property to Epstein; met Maxwell and Kellen</t>
  </si>
  <si>
    <t>Limited evidence in released files of specific post-2008 contact.</t>
  </si>
  <si>
    <t>• Buy/rent a unit at One Hyde Park, London (apartments from ~£20M+)
• Invest alongside Candy Ventures portfolio companies (accredited investors)</t>
  </si>
  <si>
    <t>VERY DIFFICULT — ultra-luxury real estate and private investment; no mass-market consumer products.</t>
  </si>
  <si>
    <t>Nick</t>
  </si>
  <si>
    <t>Candy</t>
  </si>
  <si>
    <t>Fidel Castro</t>
  </si>
  <si>
    <t>Political – invited Epstein to Cuba in 2003; met via flight on Lolita Express</t>
  </si>
  <si>
    <t>No</t>
  </si>
  <si>
    <t>No evidence of post-2008 contact. Any prior connection was political/diplomatic in nature.</t>
  </si>
  <si>
    <t>Deceased (2016) before the major Epstein file releases. No known consequences during his lifetime.</t>
  </si>
  <si>
    <t>• No consumer routes — deceased (2016)
• Historically: Cuban state enterprises (tourism, cigars like Habanos S.A., rum) benefited his government</t>
  </si>
  <si>
    <t>NOT APPLICABLE — deceased (2016). Cuban state products (Cohiba cigars, Havana Club rum) benefited the state he led, but not him personally.</t>
  </si>
  <si>
    <t>Fidel</t>
  </si>
  <si>
    <t>Castro</t>
  </si>
  <si>
    <t>Frédéric Chaslin</t>
  </si>
  <si>
    <t>Social – emailed Epstein offering to find a "great girl" (a philosophy student) for his Paris visit</t>
  </si>
  <si>
    <t>September 2013 email offering to find 'a great girl for your next stay in Paris. Philosophy student. 21.' for Epstein.</t>
  </si>
  <si>
    <t>• Buy concert tickets when he conducts (guest appearances worldwide)
• Purchase/stream his compositions (published by Universal Edition, 250+ works)
• Buy his recordings on streaming platforms or CD</t>
  </si>
  <si>
    <t>MODERATE — concert tickets and music streaming/purchases are accessible, though he's a niche classical figure.</t>
  </si>
  <si>
    <t>Frédéric</t>
  </si>
  <si>
    <t>Chaslin</t>
  </si>
  <si>
    <t>Noam Chomsky</t>
  </si>
  <si>
    <t>Academic/Social – described Epstein as "highly valued friend"; regular contact; $270K transfer from Epstein-linked account; advised Epstein on PR strategy in 2019</t>
  </si>
  <si>
    <t>Met Epstein multiple times 2015-2019. Close personal friendship including visits to NY, NM, and Paris properties. In 2019, advised Epstein on handling 'putrid press.' Wife called Epstein 'a very dear friend.' Chomsky wrote him a glowing reference letter.</t>
  </si>
  <si>
    <t>Faced media scrutiny and public criticism in 2023 when meetings and financial transactions with Epstein were reported. No professional consequences (already retired emeritus). Chomsky defended the meetings as related to political discussions.</t>
  </si>
  <si>
    <t>• Buy his many books ("Manufacturing Consent," "Who Rules the World," etc. — dozens of titles)
• Pay to attend his lectures/speaking events
• Stream documentaries featuring him</t>
  </si>
  <si>
    <t>EASY — he is one of the most published authors alive; his books are widely available and affordable.</t>
  </si>
  <si>
    <t>Noam</t>
  </si>
  <si>
    <t>Chomsky</t>
  </si>
  <si>
    <t>Deepak Chopra</t>
  </si>
  <si>
    <t>Social – email exchanges about Trump; discussed civil charges</t>
  </si>
  <si>
    <t>Files show communication after 2008 conviction. In 2016, helped coordinate potential dinner between DiCaprio and Woody Allen through Epstein.</t>
  </si>
  <si>
    <t>• Buy his 90+ books (massive bestseller catalog)
• Enroll in Chopra Center wellness programs, retreats, or online courses
• Use the Chopra meditation app
• Shop at Men's Wearhouse (he earns board fees)
• Donate to the Chopra Foundation
• Donate to or engage with JUST Capital</t>
  </si>
  <si>
    <t>VERY EASY — Chopra is a consumer brand unto himself: books, apps, retreats, wellness products, and even a board seat at a major retailer.</t>
  </si>
  <si>
    <t>Deepak</t>
  </si>
  <si>
    <t>Chopra</t>
  </si>
  <si>
    <t>George Church</t>
  </si>
  <si>
    <t>Academic – multiple meetings in 2014 including at Harvard; attended dinners with Epstein and other academics</t>
  </si>
  <si>
    <t>Proposed Epstein-funded projects including a 'pleasure genome initiative' after 2008 conviction. Emails show continued scientific collaboration.</t>
  </si>
  <si>
    <t>Resigned from advisory roles and faced scrutiny at Harvard for having sought Epstein funding. Publicly apologized for the association.</t>
  </si>
  <si>
    <t>• Buy a personal genome sequencing kit from Nebula Genomics (~$299)
• Use Veritas Genetics full genome sequencing (when available)
• Indirectly: benefit from Editas Medicine gene therapies (clinical stage)
• Buy his book "Regenesis"</t>
  </si>
  <si>
    <t>MODERATE — Nebula Genomics is a real consumer product you can order online. Most other ventures are clinical/enterprise biotech.</t>
  </si>
  <si>
    <t>George</t>
  </si>
  <si>
    <t>Church</t>
  </si>
  <si>
    <t>Vitaly Churkin</t>
  </si>
  <si>
    <t>Diplomatic – frequent meetings in NYC; Epstein offered to help Churkin's son find employment</t>
  </si>
  <si>
    <t>Epstein stated he 'used to talk with' Churkin (Russia's UN representative). Contact continued until Churkin's death in 2017.</t>
  </si>
  <si>
    <t>Deceased (February 2017), before the Epstein files were released. No consequences during lifetime.</t>
  </si>
  <si>
    <t>• No consumer routes — deceased (2017)</t>
  </si>
  <si>
    <t>NOT APPLICABLE — career diplomat, deceased.</t>
  </si>
  <si>
    <t>Vitaly</t>
  </si>
  <si>
    <t>Churkin</t>
  </si>
  <si>
    <t>Bill Clinton</t>
  </si>
  <si>
    <t>Political/Social – frequent communications (2001–2004); 16+ flights on Epstein's plane</t>
  </si>
  <si>
    <t>Disputed</t>
  </si>
  <si>
    <t>Clinton spokesman says he cut ties before 2006 charges. Photos exist but timing is disputed. Emails sent from a shared Blackberry account. Clinton denies visiting the island or emailing Epstein directly.</t>
  </si>
  <si>
    <t>Sustained political and media scrutiny. The association has been used against him politically. However, no formal investigation, legal action, or loss of position/honors resulted specifically from the Epstein connection.</t>
  </si>
  <si>
    <t>• Donate to the Clinton Foundation
• Buy his books ("My Life," "The President Is Missing" thriller series with James Patterson, etc.)
• Pay to attend Clinton Global Initiative events or Clinton Foundation fundraisers
• Buy tickets to his speaking tours</t>
  </si>
  <si>
    <t>EASY — bestselling books (especially the Patterson thrillers) and a prominent foundation that accepts public donations.</t>
  </si>
  <si>
    <t>Bill</t>
  </si>
  <si>
    <t>Clinton</t>
  </si>
  <si>
    <t>David Copperfield</t>
  </si>
  <si>
    <t>Social – described as "Epstein's favorite cohort"; 16+ phone messages; performed at Epstein's home; bathrobe photos with Maxwell; Epstein invoked Fifth Amendment about minors in connection to Copperfield</t>
  </si>
  <si>
    <t>Key testimony about a 2004 dinner (pre-conviction) where Copperfield asked a girl if she knew 'girls were getting paid to find other girls.' Post-2008 contact not clearly established in files.</t>
  </si>
  <si>
    <t>Named in released documents with an accuser's allegation. Faced renewed media scrutiny. Separately investigated by the FBI (as of 2024 reporting). Denied all allegations.</t>
  </si>
  <si>
    <t>• Buy tickets to his Las Vegas residency show at MGM Grand
• Book a stay at Musha Cay resort in the Bahamas (~$50K+/night for private island)
• Donate to Project Magic (rehabilitation program)</t>
  </si>
  <si>
    <t>EASY (for the show) — his Vegas show is a mainstream tourist attraction; the resort is ultra-luxury.</t>
  </si>
  <si>
    <t>Copperfield</t>
  </si>
  <si>
    <t>Bill Cosby</t>
  </si>
  <si>
    <t>Social – correspondence; dinner invitations; Epstein followed Cosby's assault case; attempted property purchase</t>
  </si>
  <si>
    <t>Limited evidence in released files of any post-2008 contact.</t>
  </si>
  <si>
    <t>No consequences specifically from Epstein connection. His criminal conviction and imprisonment were related to entirely separate sexual assault cases.</t>
  </si>
  <si>
    <t>• Stream or purchase his older comedy specials and "The Cosby Show" reruns (royalties)
• Buy his books</t>
  </si>
  <si>
    <t>DIFFICULT — most partnerships and distribution deals were severed; limited commercial presence remaining.</t>
  </si>
  <si>
    <t>Cosby</t>
  </si>
  <si>
    <t>Richard Dawkins</t>
  </si>
  <si>
    <t>Academic – attended 2014 conference dinner with Epstein; wrote that Epstein's case was "not as black as painted"</t>
  </si>
  <si>
    <t>Limited evidence in released files of post-2008 contact.</t>
  </si>
  <si>
    <t>• Buy his books ("The Selfish Gene," "The God Delusion," etc.)
• Donate to the Center for Inquiry (which absorbed his foundation)
• Pay to attend his lectures, debates, or speaking tours
• Stream his documentaries</t>
  </si>
  <si>
    <t>EASY — prolific bestselling author with widely available books and an active speaking/media presence.</t>
  </si>
  <si>
    <t>Dawkins</t>
  </si>
  <si>
    <t>John de Jongh Jr.</t>
  </si>
  <si>
    <t>Political/Financial – Epstein paid college tuition for de Jongh's children (2008–2009) while de Jongh was governor of USVI</t>
  </si>
  <si>
    <t>Epstein paid tuition for de Jongh's children from 2008-2009 while de Jongh was USVI governor. Also paid tuition for his campaign accountant's son.</t>
  </si>
  <si>
    <t>As former USVI governor, faced scrutiny for his territory's relationship with Epstein and alleged failures of oversight, but no formal legal consequences specifically from the Epstein files.</t>
  </si>
  <si>
    <t>• No current consumer-facing businesses or nonprofits identified
• Historically: USVI tourism spending during his governorship supported his administration</t>
  </si>
  <si>
    <t>VERY DIFFICULT — retired politician with no known commercial ventures.</t>
  </si>
  <si>
    <t>de Jongh Jr.</t>
  </si>
  <si>
    <t>Alan Dershowitz</t>
  </si>
  <si>
    <t>Legal/Financial – member of Epstein's legal team (2007); JPMorgan suspicious activity report filed; questioned about discrediting victims</t>
  </si>
  <si>
    <t>Was Epstein's lawyer in 2008 case. Continued visiting Epstein's home. Photographed together. JPMorgan filed suspicious activity report for transactions involving Dershowitz after Epstein's death.</t>
  </si>
  <si>
    <t>Faced significant consequences: publicly accused by Virginia Giuffre of sexual abuse (which he denied). Sued and was sued in multiple defamation and abuse lawsuits. Giuffre later recanted her accusations against him and they settled. His public reputation was significantly affected; he was largely sidelined from mainstream legal commentary for a period.</t>
  </si>
  <si>
    <t>• Buy his many books ("The Case for Israel," "Guilt by Accusation," etc.)
• Donate to the Gatestone Institute
• Hire him as a lawyer (high-profile private practice)</t>
  </si>
  <si>
    <t>MODERATE — books are the main consumer route; legal services are expensive and niche.</t>
  </si>
  <si>
    <t>Alan</t>
  </si>
  <si>
    <t>Dershowitz</t>
  </si>
  <si>
    <t>Maria Drokova</t>
  </si>
  <si>
    <t>Professional – worked as PR agent for Epstein; coordinated media contacts and prepared comments</t>
  </si>
  <si>
    <t>Appears in files but specific post-2008 evidence is limited.</t>
  </si>
  <si>
    <t>• Use products from Day One Ventures portfolio companies (various tech startups)
• Hire M&amp;A PR Studio for PR services</t>
  </si>
  <si>
    <t>⚠️ SUBTLE — DIFFICULT — she operates in VC and B2B PR; no direct consumer-facing products. Consumers might unknowingly use a Day One portfolio company's product.</t>
  </si>
  <si>
    <t>Maria</t>
  </si>
  <si>
    <t>Drokova</t>
  </si>
  <si>
    <t>Glenn Dubin</t>
  </si>
  <si>
    <t>Financial/Social – husband of Epstein's ex-girlfriend; JPMorgan suspicious activity report filed; named by Giuffre as someone she was directed to have sex with</t>
  </si>
  <si>
    <t>Among the earliest to resume contact after 2008 release. Spent Thanksgiving with Epstein in 2009. Continued close social and financial relationship. JPMorgan SAR filed after Epstein's death.</t>
  </si>
  <si>
    <t>Faced media scrutiny and allegations from Epstein accusers regarding his household. No formal legal consequences or loss of professional position.</t>
  </si>
  <si>
    <t>• Donate to the Robin Hood Foundation (major NYC anti-poverty charity — he's a founding board member)
• Donate to the Dubin Family Foundation</t>
  </si>
  <si>
    <t>DIFFICULT — his businesses are institutional finance (hedge funds, commodities trading). Robin Hood Foundation donations are the most accessible consumer route.</t>
  </si>
  <si>
    <t>Glenn</t>
  </si>
  <si>
    <t>Dubin</t>
  </si>
  <si>
    <t>Andrew Farkas</t>
  </si>
  <si>
    <t>Business/Social – co-owned marina with Epstein; exchanged crude emails about women; stayed on island; told Epstein he loved him</t>
  </si>
  <si>
    <t>Crude emails about women exchanged in 2010. Co-owned marina with Epstein in St. Thomas. 2018 email saying he loved Epstein and considered him a best friend. Visited the island.</t>
  </si>
  <si>
    <t>• Charter a yacht through Island Global Yachting
• Indirectly: use commercial real estate managed by his firms</t>
  </si>
  <si>
    <t>VERY DIFFICULT — real estate finance and yacht charters for the wealthy; no mass-market consumer products.</t>
  </si>
  <si>
    <t>Andrew</t>
  </si>
  <si>
    <t>Farkas</t>
  </si>
  <si>
    <t>Sarah Ferguson (Duchess of York)</t>
  </si>
  <si>
    <t>Social/Financial – described Epstein as the "brother" she always wished for; received at least £15K; continued private contact after public apology</t>
  </si>
  <si>
    <t>2011 public apology for Epstein paying her debts. Months later, emailed Epstein seeking advice on answering Oprah questions about their relationship.</t>
  </si>
  <si>
    <t>Faced significant media scrutiny when it was revealed Epstein paid off debts on her behalf. Publicly expressed regret. In February 2026, new Epstein files revealed further correspondence including asking Epstein for £20,000 for rent. Her charity Sarah's Trust announced it would shut down 'for the foreseeable future.' Lost use of the Duchess of York title after Prince Andrew was stripped of his Duke of York title. Forced to move out of Royal Lodge. Despite losing her Duchess of York title and being forced to move out of Royal Lodge, Ferguson's personal wealth from book deals, media appearances, and her brand 'Sarah Ferguson' continues. Her charity Sarah's Trust announced closure. However, she retains access to her daughters' support networks and the broader royal family's resources.</t>
  </si>
  <si>
    <t>• Buy her books (children's books like "Budgie the Little Helicopter," memoirs, romance novels under Mills &amp; Boon)
• Watch her TV appearances and documentaries
• Book her for speaking engagements
• Buy products she endorses (she has done Weight Watchers, various brand deals)</t>
  </si>
  <si>
    <t>MODERATE — her books and media appearances are accessible; brand endorsements create indirect routes.</t>
  </si>
  <si>
    <t>Sarah</t>
  </si>
  <si>
    <t>Ferguson</t>
  </si>
  <si>
    <t>Bill Gates</t>
  </si>
  <si>
    <t>Social/Business – Epstein drafted emails alleging personal details about Gates; scheduling and correspondence in files</t>
  </si>
  <si>
    <t>Met Epstein in 2011 (after conviction). Multiple meetings and extensive email exchanges 2011-2014+. Discussed philanthropy strategy. Flew on Epstein's plane. Hundreds of references in files.</t>
  </si>
  <si>
    <t>Epstein relationship was cited as a contributing factor in his 2021 divorce from Melinda French Gates, per extensive reporting. Faced sustained media scrutiny. No loss of professional position, but reputational and personal life impact was significant. Gates remains one of the world's richest people (net worth ~$100B+). His divorce from Melinda was the most tangible personal consequence, but he retained vast wealth. The Bill &amp; Melinda Gates Foundation continues to operate with an endowment exceeding $75B. He remains enormously influential in global health, technology, and philanthropy. No loss of board seats, investments, or business operations resulted from the Epstein connection.</t>
  </si>
  <si>
    <t>• Use Microsoft products (Windows, Office 365, Xbox, LinkedIn, GitHub, Azure, Bing, Outlook)
• Subscribe to Xbox Game Pass
• Buy his bestselling books ("How to Avoid a Climate Disaster," etc.)
• Shop at Walmart (Gates' Cascade Investment is a major institutional shareholder)
• Buy Coca-Cola Femsa beverages (Latin America)
• Use Ecolab products (cleaning/sanitation — institutional but some consumer)
• Donate to the Gates Foundation</t>
  </si>
  <si>
    <t>⚠️ SUBTLE — EXTREMELY EASY — Microsoft products are nearly as ubiquitous as Google; plus Walmart shopping and Xbox. Almost unavoidable.</t>
  </si>
  <si>
    <t>Gates</t>
  </si>
  <si>
    <t>David Gelernter</t>
  </si>
  <si>
    <t>Academic/Social – email correspondence (2009–2015); described female student's appearance to Epstein; relieved of Yale teaching duties in 2026</t>
  </si>
  <si>
    <t>2009 email praising Epstein. Extensive email communications including 2011 email recommending a Yale student. Barred from teaching at Yale in Feb 2026 pending review.</t>
  </si>
  <si>
    <t>Relieved of teaching duties at Yale University on February 10, 2026, pending a university conduct review. Yale said it "does not condone the action taken by the professor or his described manner of providing recommendations for his students." The action followed the release of 2009–2015 email correspondence with Epstein, including a 2011 email describing a female Yale undergraduate as a "v small goodlooking blonde" while recommending her for a position. Gelernter defended the email and said he was "very glad" he wrote it, prompting a student sit-in outside his classroom. Approximately 30 students participated. Holly Rushmeier, chair of the computer science department, took over his course for the remainder of the semester. Gelernter has been on Yale's faculty since 1982.</t>
  </si>
  <si>
    <t>• Buy his books ("Mirror Worlds," "Machine Beauty," "America-Lite")
• Enroll at Yale (tuition indirectly supports his salary)</t>
  </si>
  <si>
    <t>VERY DIFFICULT — academic with no consumer-facing businesses. Books are the only direct route.</t>
  </si>
  <si>
    <t>Gelernter</t>
  </si>
  <si>
    <t>Joe Gibbs</t>
  </si>
  <si>
    <t>Peripheral – mentioned in two documents; a victim recalled meeting him; aircraft rented from his organization</t>
  </si>
  <si>
    <t>• Buy Joe Gibbs Racing merchandise and apparel
• Watch NASCAR races (JGR earns sponsorship/prize money from viewership)
• Buy his books ("Racing to Win," "Game Plan for Life")</t>
  </si>
  <si>
    <t>MODERATE — NASCAR fans can support JGR through merchandise and race attendance; his teams are among NASCAR's most prominent.</t>
  </si>
  <si>
    <t>Joe</t>
  </si>
  <si>
    <t>Gibbs</t>
  </si>
  <si>
    <t>Jonathan Haidt</t>
  </si>
  <si>
    <t>Academic – Brockman encouraged Epstein to meet him; appeared on invitation lists for Brockman/Epstein events</t>
  </si>
  <si>
    <t>• Buy his bestselling books ("The Righteous Mind," "The Coddling of the American Mind," "The Anxious Generation")
• Subscribe to his After Babel Substack (paid tier)
• Donate to Heterodox Academy
• Donate to Let Grow (free-range parenting nonprofit)</t>
  </si>
  <si>
    <t>EASY — "The Anxious Generation" was a massive 2024 bestseller; Substack subscription is straightforward.</t>
  </si>
  <si>
    <t>Jonathan</t>
  </si>
  <si>
    <t>Haidt</t>
  </si>
  <si>
    <t>Josh Harris</t>
  </si>
  <si>
    <t>Business – ongoing correspondence (2013–2016); met Epstein, Gates, and Baron at Epstein's home</t>
  </si>
  <si>
    <t>Attended 2014 breakfast at Epstein's estate with Bill Gates. Confirmed he had 'very much' enjoyed it. Apollo connections documented in files.</t>
  </si>
  <si>
    <t>Faced scrutiny during his bid to purchase the Washington Commanders (approved in 2023). His Epstein connection was raised publicly during the vetting process but did not block the purchase. Harris faced scrutiny during the Washington Commanders purchase vetting but the sale was approved. He remains the majority owner of the Washington Commanders (NFL), Philadelphia 76ers (NBA), New Jersey Devils (NHL), and co-owner of Crystal Palace F.C. (Premier League). He is co-founder of Apollo Global Management and retains a significant ownership stake. His net worth is estimated at ~$11B. The Epstein connection has had essentially zero financial impact on his holdings or influence.</t>
  </si>
  <si>
    <t>• Buy tickets/merchandise for Philadelphia 76ers, New Jersey Devils, Washington Commanders, or Crystal Palace FC
• Watch games on TV (broadcast revenue)
• Apollo portfolio companies (similar to Leon Black — vast consumer-touching holdings)
• Attend Joe Gibbs Racing events (minority stakeholder)</t>
  </si>
  <si>
    <t>⚠️ SUBTLE — EASY and MULTIPLE ROUTES — four major professional sports teams across NFL, NBA, NHL, and EPL provide many mainstream consumer touchpoints.</t>
  </si>
  <si>
    <t>Josh</t>
  </si>
  <si>
    <t>Harris</t>
  </si>
  <si>
    <t>Sam Harris</t>
  </si>
  <si>
    <t>Social/Intellectual – received unsolicited advice from Epstein on debating style</t>
  </si>
  <si>
    <t>Faced some public criticism for having received Epstein research funding. Publicly addressed and expressed regret about the connection. No professional consequences.</t>
  </si>
  <si>
    <t>• Subscribe to the Waking Up app (~$99/year, free if you can't afford it)
• Listen to Making Sense podcast (subscription model)
• Buy his bestselling books ("Free Will," "The Moral Landscape," "Waking Up")
• Donate to Project Reason</t>
  </si>
  <si>
    <t>EASY — the Waking Up app is a well-known consumer product; books are widely available.</t>
  </si>
  <si>
    <t>Sam</t>
  </si>
  <si>
    <t>Reid Hoffman</t>
  </si>
  <si>
    <t>Business/Fundraising – visited Epstein's island (2014); multiple Skype calls and emails (2013–2017); said visits were for MIT fundraising</t>
  </si>
  <si>
    <t>Known to have visited Epstein's island after 2008. Previously apologized for the association. Donated to anti-trafficking efforts as restitution.</t>
  </si>
  <si>
    <t>Publicly apologized for his association with Epstein. Faced scrutiny in tech/venture capital circles. His connections to Epstein were raised during MIT Media Lab fallout. No loss of professional positions.</t>
  </si>
  <si>
    <t>• Use LinkedIn (free or Premium subscriptions — $35-60/month)
• Use PayPal (he was founding board; minimal ongoing benefit)
• Donate to Kiva (microfinance nonprofit he supports)
• Donate to Mozilla Foundation
• Buy his books ("Blitzscaling," "The Start-up of You")</t>
  </si>
  <si>
    <t>EASY — LinkedIn Premium is a mainstream subscription product used by millions; he also benefits as a Microsoft board member.</t>
  </si>
  <si>
    <t>Reid</t>
  </si>
  <si>
    <t>Hoffman</t>
  </si>
  <si>
    <t>Jack Horner (Paleontologist)</t>
  </si>
  <si>
    <t>Academic – visited Epstein's New Mexico property (2012); exchanged thank-you emails suggesting possible funding support</t>
  </si>
  <si>
    <t>• Buy his books ("How to Build a Dinosaur," "Dinosaurs Under the Big Sky")
• He served as paleontology consultant for all Jurassic Park/World films (earned consulting fees; films generate ongoing royalties)</t>
  </si>
  <si>
    <t>MODERATE — Jurassic Park franchise viewership indirectly benefits him through consulting arrangements; books are niche but available.</t>
  </si>
  <si>
    <t>Jack</t>
  </si>
  <si>
    <t>Horner</t>
  </si>
  <si>
    <t>Joi Ito</t>
  </si>
  <si>
    <t>Academic/Financial – received $1.7M from Epstein; concealed donations at MIT Media Lab; twice visited Epstein's island; resigned from MIT and multiple boards</t>
  </si>
  <si>
    <t>Met Epstein in 2013 (after conviction). Actively solicited funding, accepted $525K for MIT Media Lab and $1.2M for personal ventures. Referred to Epstein as 'Voldemort'/'he who shall not be named' to conceal his identity. Epstein visited MIT campus 9 times 2013-2017. Ito resigned in 2019.</t>
  </si>
  <si>
    <t>Resigned as director of MIT Media Lab in September 2019 after revelations he had accepted and concealed Epstein donations. Also resigned from the New York Times board and other advisory positions. One of the most prominent academic casualties of the Epstein scandal. While Ito lost his most prestigious position (MIT Media Lab director) and multiple board seats (NYT, MacArthur, Knight Foundation, PureTech Health), he has since rebuilt professionally. He is currently President of the Chiba Institute of Technology in Japan, remains co-founder and board member of Digital Garage (a publicly traded tech firm), runs Neoteny (a venture capital firm), and manages gmjp (a web3 investment fund). He retains his early-stage investments in companies like Twitter/X, Kickstarter, and Flickr. He serves as Executive Advisor to the Cabinet Office of Japan. His professional network in Japan was largely unaffected by the U.S.-centric scandal.</t>
  </si>
  <si>
    <t>• Use Digital Garage services (primarily Japan-focused internet/fintech)
• Previously: use Creative Commons licenses (free, but he led the org)
• Indirectly: use products he invested in early (Twitter/X, Kickstarter, Flickr)</t>
  </si>
  <si>
    <t>DIFFICULT — his current roles are in Bhutan development and Japanese VC; no direct Western consumer-facing products currently.</t>
  </si>
  <si>
    <t>Joi</t>
  </si>
  <si>
    <t>Ito</t>
  </si>
  <si>
    <t>Thorbjørn Jagland</t>
  </si>
  <si>
    <t>Political – planned family trip to Epstein's island; email exchanges while heading Nobel Committee; Epstein offered to advise Putin via Jagland; charged with "gross corruption" in Feb 2026</t>
  </si>
  <si>
    <t>Extensive post-2008 contact. Family visited Epstein's island, Palm Beach house, and Paris apartment. 2014 email planned family trip to Little St. James. Epstein told Jagland to facilitate meeting with Putin. Charged with 'aggravated corruption' in Feb 2026.</t>
  </si>
  <si>
    <t>Charged with 'aggravated corruption' by Norway's economic crimes unit (Økokrim) in February 2026. Epstein files revealed he stayed at Epstein's properties and may have received gifts, travel, and loans while holding official positions. His diplomatic immunity from the Council of Europe was waived. His properties were searched. Faces up to 10 years in prison. Denies all charges. Jagland faces criminal charges, but if acquitted, he would retain his pension from decades of public service including as PM, foreign minister, and Council of Europe secretary general. The financial impact will depend on the outcome of the prosecution.</t>
  </si>
  <si>
    <t>• Buy his books (published in Norwegian/European markets)</t>
  </si>
  <si>
    <t>VERY DIFFICULT — retired politician/diplomat with no commercial ventures or prominent nonprofits accepting public donations.</t>
  </si>
  <si>
    <t>Thorbjørn</t>
  </si>
  <si>
    <t>Jagland</t>
  </si>
  <si>
    <t>Nicole Junkermann</t>
  </si>
  <si>
    <t>Social/Business – close friendship and repeated email correspondence with Epstein from early 2010s, post-conviction</t>
  </si>
  <si>
    <t>Documents show close friendship and repeated email correspondence with Epstein over several years from the early 2010s, all after 2008 conviction.</t>
  </si>
  <si>
    <t>No known formal consequences from Epstein connection.</t>
  </si>
  <si>
    <t>• Historically: buy Dollar Shave Club products (sold to Unilever — she profited at exit)
• Historically: use Songza (sold to Google — became Google Play Music features)
• Use products from current NJF Capital portfolio companies (OWKIN, Deep Genomics, Bolt)
• Use Bolt for rides/food delivery (if in her portfolio's equity)</t>
  </si>
  <si>
    <t>MODERATE — her best consumer exits (Dollar Shave Club, Songza) already happened; current portfolio is mostly deep-tech/healthcare. Bolt is consumer-facing if still in portfolio.</t>
  </si>
  <si>
    <t>Nicole</t>
  </si>
  <si>
    <t>Junkermann</t>
  </si>
  <si>
    <t>Mona Juul</t>
  </si>
  <si>
    <t>Diplomatic – wife of Terje Rød-Larsen; resigned ambassadorship Feb 2026 over ties to Epstein</t>
  </si>
  <si>
    <t>Epstein left $10 million in his will to Juul's children. Resigned as Norway's ambassador to Jordan in Feb 2026 after revelations. Foreign ministry investigation ongoing.</t>
  </si>
  <si>
    <t>Resigned as Norway's ambassador to Jordan and Iraq in February 2026. Suspended, placed on administrative leave, security clearance revoked. Charged by Økokrim on suspicion of aggravated corruption. The files revealed Epstein left $10 million in his will to her children. Internal ministry investigation ongoing. While Juul resigned her ambassadorship, she remains technically employed by the Norwegian Ministry of Foreign Affairs (on administrative leave) and continues to receive her salary of 1,548,000 NOK (~$145K). She lost her foreign allowance but retains employment protections under Norwegian civil service law. Her children were named as beneficiaries of $10M in Epstein's will, though it is unclear whether those funds were ever disbursed.</t>
  </si>
  <si>
    <t>• No consumer routes — career diplomat with no commercial or nonprofit ventures</t>
  </si>
  <si>
    <t>VERY DIFFICULT — government salary only; no consumer-facing channels.</t>
  </si>
  <si>
    <t>Mona</t>
  </si>
  <si>
    <t>Juul</t>
  </si>
  <si>
    <t>Dean Kamen</t>
  </si>
  <si>
    <t>Social/Business – visited Epstein's island (2013); photographed together; assistants discussed "which flight Dean prefers the girls to be on"</t>
  </si>
  <si>
    <t>Photographed with Epstein and Richard Branson. Connected to Epstein through Nadia Marcinko, who worked at Kamen's company DEKA from ~2014. Continued association after 2008.</t>
  </si>
  <si>
    <t>• Donate to FIRST Robotics (major youth robotics nonprofit — very prominent in schools, accepts individual donations)
• Previously: buy a Segway (now owned by Ninebot/Segway-Ninebot, not Kamen)
• Indirectly: use medical devices made by DEKA (insulin pumps, prosthetics — sold through partners like Baxter)</t>
  </si>
  <si>
    <t>MODERATE — FIRST Robotics is the primary accessible route; it's a well-known nonprofit with broad community fundraising. His inventions are commercialized through other companies.</t>
  </si>
  <si>
    <t>Dean</t>
  </si>
  <si>
    <t>Kamen</t>
  </si>
  <si>
    <t>Brad S. Karp</t>
  </si>
  <si>
    <t>Legal/Social – attended dinner gatherings at Epstein's home; effusive email exchanges; discussed revoking a woman's visa with Epstein; resigned as chair of Paul Weiss law firm</t>
  </si>
  <si>
    <t>2015 email thanking Epstein for a 'once in a lifetime' evening. 2016 email asking Epstein to help his son get a job on a Woody Allen film. Resigned as Paul Weiss chairman Feb 4, 2026.</t>
  </si>
  <si>
    <t>Resigned as chairman of Paul, Weiss, Rifkind, Wharton &amp; Garrison LLP on February 4, 2026, after Epstein files revealed effusive email exchanges and a request for Epstein to help his son get a job on a Woody Allen film. This is one of the most prestigious law firm chairmanships in the world. He retains his partnership at the firm and his extensive board positions across Mount Sinai Hospital, NY-Presbyterian Hospital, Lincoln Center, the Whitney Museum, and dozens of other institutions. The financial impact of stepping down as chairman is unclear, but his broader professional network remains intact.</t>
  </si>
  <si>
    <t>• Hire Paul, Weiss for legal services (major corporate law firm)
• Donate to Lincoln Center for the Performing Arts
• Donate to Mount Sinai Hospital or NY-Presbyterian Hospital
• Donate to the Whitney Museum or Jewish Museum
• Buy tickets to Lincoln Center performances
• Donate to Junior Achievement Worldwide</t>
  </si>
  <si>
    <t>MODERATE — he sits on boards of many prominent cultural/medical nonprofits that accept public donations; the law firm itself is B2B.</t>
  </si>
  <si>
    <t>Brad S.</t>
  </si>
  <si>
    <t>Karp</t>
  </si>
  <si>
    <t>Robert F. Kennedy Jr.</t>
  </si>
  <si>
    <t>Social – joined Epstein and Maxwell on fossil hunting expedition on Pine Ridge reservation</t>
  </si>
  <si>
    <t>Appears in files but specific post-2008 evidence from the released documents is limited. Name surfaces in contact lists and scheduling.</t>
  </si>
  <si>
    <t>His Epstein connection was raised during political activities but did not result in formal consequences. Confirmed as HHS Secretary in 2025 despite the association being publicly known.</t>
  </si>
  <si>
    <t>• Buy Keeper Springs bottled water (if still available — donates profits to Waterkeeper Alliance)
• Donate to Children's Health Defense
• Donate to Waterkeeper Alliance
• Buy his books ("The Real Anthony Fauci" was a massive bestseller)</t>
  </si>
  <si>
    <t>EASY — "The Real Anthony Fauci" was a #1 bestseller; Children's Health Defense actively fundraises from the public. Keeper Springs is a direct consumer product.</t>
  </si>
  <si>
    <t>Robert F.</t>
  </si>
  <si>
    <t>Kennedy Jr.</t>
  </si>
  <si>
    <t>Jeff Koons</t>
  </si>
  <si>
    <t>Peripheral – attended one dinner party at Epstein's home in 2013; denied any relationship</t>
  </si>
  <si>
    <t>Attended a dinner party at Epstein's house years after his conviction, revealed in latest DOJ file release.</t>
  </si>
  <si>
    <t>• Buy his artwork (sculptures sell for millions — "Rabbit" sold for $91M)
• Buy Jeff Koons merchandise/collaborations (he's done Louis Vuitton bags, BMW art cars, Dom Pérignon bottles)
• Commission custom stone fabrication from Advanced Stone Technologies</t>
  </si>
  <si>
    <t>MODERATE — his high-art is for the ultra-wealthy, but mass-market collaborations (Louis Vuitton x Koons handbags, limited edition bottles) are more accessible consumer products.</t>
  </si>
  <si>
    <t>Jeff</t>
  </si>
  <si>
    <t>Koons</t>
  </si>
  <si>
    <t>Stephen Kosslyn</t>
  </si>
  <si>
    <t>Academic – received $200K in donations (1998–2002); visited Epstein in jail (2008); helped draft PR scripts; provided child psychologist referral for a 15-year-old</t>
  </si>
  <si>
    <t>Visited Epstein in jail in 2008. Helped Epstein draft scripts for reporters to restore his public image. In 2010, provided referral for a New York child psychologist for a 15-year-old girl when asked by Epstein.</t>
  </si>
  <si>
    <t>Faced scrutiny for visiting Epstein in jail in 2008, helping Epstein draft scripts for reporters, and accepting Epstein donations for Harvard's psychology department. No formal professional consequences reported.</t>
  </si>
  <si>
    <t>• Enroll in Foundry College (online two-year college he founded)
• Buy his books on cognitive science and learning
• Use Active Learning Sciences products/services</t>
  </si>
  <si>
    <t>DIFFICULT — niche educational ventures; no mainstream consumer products.</t>
  </si>
  <si>
    <t>Stephen</t>
  </si>
  <si>
    <t>Kosslyn</t>
  </si>
  <si>
    <t>Bobby Kotick</t>
  </si>
  <si>
    <t>Business/Social – invited to events described as being 'with the girls,' a phrase used throughout the Epstein files to refer to young women procured by Epstein; May 2013 email exchange discussing Activision Blizzard business; extensive email correspondence revealed in 2026 DOJ files</t>
  </si>
  <si>
    <t>Epstein invited Kotick to events 'with the girls.' May 2013 email exchange about adding microtransactions to Call of Duty.</t>
  </si>
  <si>
    <t>Faced renewed media scrutiny in early 2026 when Epstein files revealed extensive email correspondence including invitations involving 'the girls.' Had already left Activision Blizzard in December 2023 following Microsoft's acquisition. No formal consequences specifically from the Epstein connection. Kotick left Activision Blizzard in December 2023 with a departure package reportedly worth hundreds of millions of dollars from the Microsoft acquisition. His personal net worth is estimated at $7B+. The Epstein revelations have had no known financial impact.</t>
  </si>
  <si>
    <t>• Buy Activision Blizzard games: Call of Duty, World of Warcraft, Overwatch, Diablo, Candy Crush (now Microsoft/Xbox — he no longer benefits directly post-retirement)
• Donate to Call of Duty Endowment (veterans nonprofit he co-founded)</t>
  </si>
  <si>
    <t>FORMERLY VERY EASY — Activision games are among the most popular in the world, but he retired in 2023. Now limited to Call of Duty Endowment donations and any residual royalties/equity.</t>
  </si>
  <si>
    <t>Bobby</t>
  </si>
  <si>
    <t>Kotick</t>
  </si>
  <si>
    <t>Lawrence Krauss</t>
  </si>
  <si>
    <t>Academic/Social – sought Epstein's advice on responding to misconduct allegations; joked about accused men; retired from ASU in 2018</t>
  </si>
  <si>
    <t>Continued association after 2008. In 2018, emailed with Epstein about a 'men of the world conference' listing men accused of misconduct. Patron of Epstein-funded science. Retired from ASU in 2018.</t>
  </si>
  <si>
    <t>Significant consequences (intertwined with separate sexual misconduct allegations). Lost directorship of ASU's Origins Project in 2018. Placed on administrative leave, then forced to retire from ASU in May 2019. Banned from Case Western Reserve campus. Consulted Epstein for PR advice during the misconduct investigations. The Epstein connection compounded his professional downfall. After being forced to retire from ASU, Krauss founded The Origins Project Foundation (a new, independent organization) and continues to host The Origins Podcast. He publishes a blog called Critical Mass. While he lost his institutional platform, he has maintained a public intellectual presence outside traditional academia.</t>
  </si>
  <si>
    <t>• Buy his books ("A Universe from Nothing," "The Physics of Star Trek," etc.)
• Pay to attend his lectures or speaking events
• Stream his documentaries and debates</t>
  </si>
  <si>
    <t>MODERATE — books are widely available; he's a prolific public speaker and author, though less prominent since leaving ASU.</t>
  </si>
  <si>
    <t>Lawrence</t>
  </si>
  <si>
    <t>Krauss</t>
  </si>
  <si>
    <t>Miroslav Lajčák</t>
  </si>
  <si>
    <t>Political – extensive correspondence (2017–2019); allegedly asked Epstein for "young girls"; name appears 300+ times; offered to connect Bannon with Slovak PM Fico</t>
  </si>
  <si>
    <t>Email correspondence with Epstein between 2017-2019, including discussing 'gorgeous' girls. Resigned as Slovakia's national security adviser after files released. Opposition parties demanded his departure.</t>
  </si>
  <si>
    <t>Resigned as Slovak PM Fico's national security adviser in February 2026 after text messages with Epstein discussing 'gorgeous' girls were revealed. Former Slovak foreign minister and former president of the UN General Assembly. Denied wrongdoing but called the messages embarrassing. Lajčák resigned as national security adviser to the Slovak PM, but retains his personal wealth and connections from decades as a diplomat, including serving as president of the UN General Assembly and Slovak foreign minister.</t>
  </si>
  <si>
    <t>• No consumer-facing businesses or prominent nonprofits</t>
  </si>
  <si>
    <t>VERY DIFFICULT — career diplomat/politician with no commercial or charitable consumer channels.</t>
  </si>
  <si>
    <t>Miroslav</t>
  </si>
  <si>
    <t>Lajčák</t>
  </si>
  <si>
    <t>Guy Laliberté</t>
  </si>
  <si>
    <t>Business – attempted property sale to Epstein (2018); discussed foundation; sent birthday card</t>
  </si>
  <si>
    <t>• Donate to One Drop Foundation (clean water access — accepts public donations)
• Attend Cirque du Soleil shows (he no longer benefits financially — sold all shares)
• Engage with Lune Rouge entertainment/tech ventures</t>
  </si>
  <si>
    <t>MODERATE — One Drop Foundation is the primary route. He no longer profits from Cirque du Soleil ticket sales, which is the ironic twist.</t>
  </si>
  <si>
    <t>Guy</t>
  </si>
  <si>
    <t>Laliberté</t>
  </si>
  <si>
    <t>Mark Landon</t>
  </si>
  <si>
    <t>Financial/Professional – received quarterly payments ($75K/year) as paid consultant for Epstein's firm (2001–2005)</t>
  </si>
  <si>
    <t>Limited specific post-2008 evidence in publicly analyzed files.</t>
  </si>
  <si>
    <t>• Be a patient at Ohio State Wexner Medical Center OB/GYN department</t>
  </si>
  <si>
    <t>VERY DIFFICULT — academic physician with no consumer-facing businesses or nonprofits.</t>
  </si>
  <si>
    <t>Mark</t>
  </si>
  <si>
    <t>Landon</t>
  </si>
  <si>
    <t>Caroline Lang</t>
  </si>
  <si>
    <t>Financial/Business – co-owner with Epstein of Prytanee LLC (USVI); named as $5M recipient in Epstein's will; under French investigation for tax fraud and money laundering</t>
  </si>
  <si>
    <t>Daughter of Jack Lang. Files show extensive contact with Epstein after 2008; connected through her father's ongoing relationship with the financier.</t>
  </si>
  <si>
    <t>Under French investigation for tax fraud and money laundering in connection with Epstein-related financial structures. Co-owned Prytanee LLC (USVI) with Epstein and was named as a $5 million recipient in Epstein's will. The investigation is ongoing; no charges have been filed as of February 2026. Her art investment firm has been dissolved.</t>
  </si>
  <si>
    <t>• Donate to Fondation Le Refuge (French LGBT+ youth charity)
• Attend Series Mania TV festival events</t>
  </si>
  <si>
    <t>DIFFICULT — her roles are in French media industry governance and a dissolved art investment firm; Le Refuge donations are the only accessible route.</t>
  </si>
  <si>
    <t>Caroline</t>
  </si>
  <si>
    <t>Lang</t>
  </si>
  <si>
    <t>Jack Lang</t>
  </si>
  <si>
    <t>Political/Financial – intermittent correspondence (2012–2019); name appears 600+ times; resigned from Arab World Institute Feb 2026; under French investigation</t>
  </si>
  <si>
    <t>French former culture minister. Financial ties to Epstein continued post-2008. Resigned as head of Arab World Institute in Paris in Feb 2026. French Foreign Ministry sought to question him; tax fraud investigation opened.</t>
  </si>
  <si>
    <t>Stepped down as head of the Arab World Institute in Paris in February 2026 over alleged past financial links to Epstein. Summoned to the French Foreign Ministry. A tax investigation was prompted by the revelations. Highest-profile figure in France impacted by the Epstein files. Lang stepped down from the Arab World Institute but retains his personal wealth and his reputation from decades as a major French political figure (former Culture Minister). A tax investigation is underway, but no charges have been filed.</t>
  </si>
  <si>
    <t>• Visit the Institut du Monde Arabe museum in Paris (admission fees — though he resigned in 2026)
• Buy his books (French-language political/cultural works)</t>
  </si>
  <si>
    <t>DIFFICULT — retired politician; he just resigned from the Arab World Institute. Limited consumer touchpoints.</t>
  </si>
  <si>
    <t>Ronald Lauder</t>
  </si>
  <si>
    <t>Business – name appears 900+ times; Epstein set up LLC for Lauder and Leon Black to co-own $25M artwork</t>
  </si>
  <si>
    <t>Appears in files and Epstein's social circle but specific post-2008 correspondence from the released documents requires further analysis.</t>
  </si>
  <si>
    <t>• Buy Estée Lauder products (Estée Lauder, Clinique, MAC, Bobbi Brown, La Mer, Aveda, Tom Ford Beauty, Jo Malone, Too Faced, Origins)
• Visit the Neue Galerie museum in NYC (admission + gift shop)
• Donate to World Jewish Congress
• Donate to Alzheimer's Drug Discovery Foundation
• Donate to Ronald S. Lauder Foundation</t>
  </si>
  <si>
    <t>VERY EASY — Estée Lauder's brands are in every department store and Sephora worldwide. If you buy Clinique, MAC, La Mer, Bobbi Brown, or any EL brand, money flows to his family's fortune.</t>
  </si>
  <si>
    <t>Ronald</t>
  </si>
  <si>
    <t>Lauder</t>
  </si>
  <si>
    <t>Sergey Lavrov</t>
  </si>
  <si>
    <t>Diplomatic – Epstein offered to provide Lavrov insight on Trump and Putin</t>
  </si>
  <si>
    <t>No (attempted)</t>
  </si>
  <si>
    <t>Epstein wanted to talk to Lavrov via Jagland in 2018, but it is unclear whether contact was ever made. No direct relationship established.</t>
  </si>
  <si>
    <t>• No consumer routes — active government official of a sanctioned state</t>
  </si>
  <si>
    <t>NOT APPLICABLE — sanctioned Russian government official; no commercial or consumer channels available to Western consumers.</t>
  </si>
  <si>
    <t>Lavrov</t>
  </si>
  <si>
    <t>Howard Lutnick</t>
  </si>
  <si>
    <t>Business/Social – coordinated visit to Epstein's Caribbean compound (Dec 2012) despite claiming ties severed around 2005; additional 2011 drinks and 2017 email exchange</t>
  </si>
  <si>
    <t>2011 drinks with Epstein. Dec 2012 emails show Lutnick and wife accepted invitation to Epstein's island, planned to arrive by yacht with children. Despite claiming 'immediate revulsion,' correspondence continued.</t>
  </si>
  <si>
    <t>Facing bipartisan calls to resign as U.S. Commerce Secretary (as of February 2026) after the Epstein files revealed interactions well beyond his claimed 2005 cutoff, including a 2012 visit to Epstein's island. Admitted under Senate questioning to visiting the island. His name appears 223+ times in the files. The White House has stood by him so far, but GOP senators have expressed concern. Described as 'arguably under more pressure to resign than any other member of Trump's cabinet.' Despite facing bipartisan calls to resign, Lutnick remains in his position as Commerce Secretary (as of Feb 2026). He retains his personal wealth from his career as CEO of Cantor Fitzgerald and BGC Partners. Cantor Fitzgerald holds a 5% stake in Tether (the stablecoin issuer), giving him significant ongoing financial interests. If he does eventually resign, his wealth and business interests would be unaffected.</t>
  </si>
  <si>
    <t>• Use BGC Group financial services (institutional — not consumer-facing)
• Previously: Cantor Fitzgerald financial services (he transferred ownership to trusts in 2025)</t>
  </si>
  <si>
    <t>VERY DIFFICULT — his businesses are institutional financial services (bond trading, commercial real estate brokerage). Now serving as Secretary of Commerce. No consumer products.</t>
  </si>
  <si>
    <t>Howard</t>
  </si>
  <si>
    <t>Lutnick</t>
  </si>
  <si>
    <t>Peter Mandelson</t>
  </si>
  <si>
    <t>Political/Financial – three $25K payments from Epstein's account (2003–2004); leaked confidential UK government documents to Epstein on multiple occasions; accused of lobbying US government on Epstein's behalf; dismissed as UK ambassador to US</t>
  </si>
  <si>
    <t>Called Epstein 'my best pal' in 2003. Contact continued years after 2008. July 2009 email referring to Epstein's release as 'liberation day.' Accused of sharing market-sensitive UK government info. Fired as UK ambassador Sept 2025; criminal investigation launched.</t>
  </si>
  <si>
    <t>Among the most severe consequences. Fired as UK Ambassador to the US in September 2025. Resigned from the Labour Party and the House of Lords in February 2026. Under criminal investigation by the Metropolitan Police for alleged misconduct in public office (sharing sensitive government info with Epstein). Allegations of receiving $75,000+ in payments from Epstein. PM Starmer's chief of staff resigned over the decision to appoint him. The scandal has threatened Starmer's premiership. Despite losing his ambassadorship, Labour membership, and House of Lords seat, Mandelson built considerable personal wealth during his decade-plus in the private sector through his advisory firm Global Counsel and other business activities. He received an exit payment estimated at £39K-£55K from the ambassadorship. However, he faces a criminal investigation which could result in further financial consequences. His firm Global Counsel has been damaged — its CEO resigned over the Epstein links.</t>
  </si>
  <si>
    <t>• Shop at Shein (Global Counsel was a lobbying client — very indirect)
• Use TikTok (another lobbying client)
• Shop on Alibaba/AliExpress (lobbying client)
• Hire Global Counsel for strategic advisory</t>
  </si>
  <si>
    <t>⚠️ SUBTLE — INDIRECT — consumers using Shein, TikTok, or Alibaba paid companies that paid his lobbying firm. No direct consumer products.</t>
  </si>
  <si>
    <t>Mandelson</t>
  </si>
  <si>
    <t>Ghislaine Maxwell</t>
  </si>
  <si>
    <t>Criminal Associate – convicted child sex trafficker; prominent business partner of Epstein</t>
  </si>
  <si>
    <t>Epstein's closest associate and co-conspirator throughout. Continued active involvement after 2008. Convicted of sex trafficking in 2021; serving 20-year sentence. 13,169 mentions in files.</t>
  </si>
  <si>
    <t>Arrested July 2020. Convicted December 2021 of sex trafficking and other charges related to recruiting and grooming minors for Epstein. Sentenced to 20 years in federal prison in June 2022. Currently serving her sentence. Among the most severe consequences of anyone connected to Epstein. Maxwell's assets were subject to seizure proceedings. However, questions remain about hidden assets and trusts established by her father Robert Maxwell and through Epstein-connected entities. She was ordered to pay $22.3M to her victims' compensation fund. Her practical ability to benefit from any remaining wealth is limited by her incarceration.</t>
  </si>
  <si>
    <t>• No current consumer routes — all organizations dissolved; currently incarcerated</t>
  </si>
  <si>
    <t>NOT APPLICABLE — incarcerated (sentenced 2022); all organizations shuttered.</t>
  </si>
  <si>
    <t>Ghislaine</t>
  </si>
  <si>
    <t>Maxwell</t>
  </si>
  <si>
    <t>Robert Maxwell</t>
  </si>
  <si>
    <t>Familial/Intelligence – Ghislaine's father; Epstein speculated he was killed by Mossad over blackmail attempt</t>
  </si>
  <si>
    <t>Ghislaine's father. Died in 1991, well before Epstein's arrest. Historical connection only.</t>
  </si>
  <si>
    <t>Deceased (1991), long before the Epstein scandal. No consequences during his lifetime.</t>
  </si>
  <si>
    <t>• Historically: buy the Daily Mirror, Sunday Mirror, or Scottish Daily Record
• Use Berlitz language learning products (he formerly owned Berlitz)
• Read Macmillan/Pergamon Press academic publications
• Buy Nimbus Records classical music recordings</t>
  </si>
  <si>
    <t>NOT APPLICABLE — deceased (1991). His empire collapsed after his death. Berlitz, Macmillan, and Mirror Group all changed ownership long ago.</t>
  </si>
  <si>
    <t>Robert</t>
  </si>
  <si>
    <t>Mette-Marit, Crown Princess of Norway</t>
  </si>
  <si>
    <t>Social – mentioned 1,000+ times; communications spanning 2011–2014; spent four days at Palm Beach house; acknowledged "poor judgement"</t>
  </si>
  <si>
    <t>Exchanged emails with Epstein after his 2008 conviction. Revelations have dented public respect for the Norwegian royal family.</t>
  </si>
  <si>
    <t>Significant and escalating consequences as of February 2026. Stripped of patronage of Sex og Samfunn (major NGO). Norwegian Council for Mental Health paused collaboration. Multiple organizations reviewing ties. Public debate about whether she can become queen. PM Støre publicly criticized her judgment. Issued multiple public apologies. Scandal compounded with her son's rape trial, deeply damaging the Norwegian monarchy's reputation. Despite losing patronages and facing public debate about her suitability as future queen, Mette-Marit retains her royal title and position. She remains Crown Princess and is still in line to become Queen Consort. The Norwegian monarchy provides her with public funding and accommodation. No formal stripping of her title or position has occurred — the consequences so far have been reputational and organizational (lost patronages), not structural.</t>
  </si>
  <si>
    <t>• Donate to the Crown Prince and Crown Princess's Foundation (youth projects in Norway)
• Donate to Norwegian Red Cross (she is patron)
• Support Maverick Collective / PSI (women's global health)
• Donate to UNAIDS
• Support Norwegian Guide and Scout Association or other patroned orgs</t>
  </si>
  <si>
    <t>MODERATE — multiple charitable organizations she patrons accept public donations, especially the Norwegian Red Cross and the royal foundation.</t>
  </si>
  <si>
    <t>Mette-Marit</t>
  </si>
  <si>
    <t>Marvin Minsky</t>
  </si>
  <si>
    <t>Academic – Giuffre stated she was directed to have sex with Minsky at Epstein's island; organized AI symposia at Epstein's compound (2002, 2011)</t>
  </si>
  <si>
    <t>Epstein's closest friend at MIT per Nicholas Negroponte. Visited Epstein in jail. Received $100K donation in 2002. Continued association until Minsky's death in 2016. Accused by Virginia Giuffre.</t>
  </si>
  <si>
    <t>Deceased (January 2016). Posthumously accused by Virginia Giuffre of sexual misconduct. His reputation was damaged and the accusations became part of the MIT Media Lab scandal, though he was not alive to face direct consequences.</t>
  </si>
  <si>
    <t>• Buy his books ("The Society of Mind," "The Emotion Machine")</t>
  </si>
  <si>
    <t>NOT APPLICABLE — deceased (2016). Books continue to sell but benefit his estate. No consumer-facing businesses.</t>
  </si>
  <si>
    <t>Marvin</t>
  </si>
  <si>
    <t>Minsky</t>
  </si>
  <si>
    <t>George J. Mitchell</t>
  </si>
  <si>
    <t>Political/Social – described friendship as "a blessing"; continued relationship post-conviction; Giuffre alleged Maxwell directed her to have sex with him; scholarship program removed his name</t>
  </si>
  <si>
    <t>Continued relationship after 2008 including emails and scheduled appointments. Nov 2013 email: '10:30am Appt w/Senator George Mitchell.' Virginia Giuffre alleged Maxwell directed her to have sex with Mitchell (he denies).</t>
  </si>
  <si>
    <t>Faced allegations from Virginia Giuffre (which he denied). Stepped down from board positions. His political legacy has been significantly tarnished. Mitchell stepped down from board positions but retained his partnership at the law firm DLA Piper and his personal wealth accumulated over decades as a senator, special envoy, and corporate board member. His net worth remains substantial.</t>
  </si>
  <si>
    <t>• Ship with FedEx (he served on the board)
• Use Xerox products (former board)
• Shop at Staples (former board)
• Buy Unilever products (Dove, Ben &amp; Jerry's, Hellmann's, etc. — former board)
• Previously: stayed at Starwood Hotels (former board)
• Watch/attend Boston Red Sox games (board connection)
• Hire DLA Piper for legal services</t>
  </si>
  <si>
    <t>⚠️ SUBTLE — INDIRECT but WIDESPREAD — his board seats span consumer giants (FedEx, Staples, Unilever). He earns/earned director fees from companies consumers use daily.</t>
  </si>
  <si>
    <t>George J.</t>
  </si>
  <si>
    <t>Mitchell</t>
  </si>
  <si>
    <t>Andrew Mountbatten-Windsor (Prince Andrew, Duke of York)</t>
  </si>
  <si>
    <t>Social/Allegation – invited Epstein to Buckingham Palace; Giuffre accused him of sexual abuse (settled 2022); may have shared confidential trade envoy information with Epstein</t>
  </si>
  <si>
    <t>Continued contact well after 2008. Emails include invitation to dine at Buckingham Palace, Epstein offering to introduce him to a 26-year-old Russian woman. Photos show him on all fours over unidentified woman. Stripped of royal titles.</t>
  </si>
  <si>
    <t>Among the most extreme consequences of anyone on the list. Stepped back from royal duties in 2019. In 2022, lost military affiliations and royal patronages, settled civil lawsuit with Giuffre for an undisclosed sum. In October 2025, stripped of ALL remaining titles including 'Prince,' Duke of York, and HRH by King Charles III. Evicted from Royal Lodge in early 2026. Under potential police investigation for sharing confidential information with Epstein. Effectively a social pariah within the royal establishment. Despite being stripped of all titles and evicted from Royal Lodge, Andrew continues to be financially supported by King Charles, who is privately funding his alternative accommodation at the Sandringham estate. He has no independent income or professional position, but he is not destitute — his living costs are effectively subsidized by the royal family's private wealth. He also received an undisclosed financial settlement from Virginia Giuffre's lawsuit, funded reportedly from the Queen's private purse.</t>
  </si>
  <si>
    <t>• No current consumer-facing businesses or active patronages (stripped of royal patronages in 2022)
• Previously: Pitch@Palace (entrepreneurship initiative — suspended)</t>
  </si>
  <si>
    <t>VERY DIFFICULT — no commercial ventures; stripped of royal roles and patronages. No consumer channels.</t>
  </si>
  <si>
    <t>Mountbatten-Windsor</t>
  </si>
  <si>
    <t>Robert Mugabe</t>
  </si>
  <si>
    <t>Financial/Political – FBI report said Epstein provided Mugabe wealth management services; Ito suggested Epstein meet Mugabe about currency issues</t>
  </si>
  <si>
    <t>No evidence of post-2008 contact. Any connection was political/diplomatic. Mugabe was increasingly isolated internationally.</t>
  </si>
  <si>
    <t>Deceased (2019). No known consequences from Epstein connection during his lifetime.</t>
  </si>
  <si>
    <t>• No consumer routes — deceased (2019)</t>
  </si>
  <si>
    <t>NOT APPLICABLE — deceased (2019). Former head of state with no commercial ventures.</t>
  </si>
  <si>
    <t>Mugabe</t>
  </si>
  <si>
    <t>Elon Musk</t>
  </si>
  <si>
    <t>Social – email exchanges (2012–2014) with repeated overtures to meet; discussed visiting Epstein's island; asked about "the wildest party"; no confirmed in-person meeting at island</t>
  </si>
  <si>
    <t>Emails from 2012-2013 show Musk actively pursuing visits to Epstein's island, asking 'What day/night will be the wildest party?' Plans made but unclear if island visit occurred. Musk claims he declined. Correspondence continued to at least 2014.</t>
  </si>
  <si>
    <t>No formal consequences. His name appeared in the files but context was limited. Faced media scrutiny but no professional or legal impact.</t>
  </si>
  <si>
    <t>• Buy or lease a Tesla vehicle (Model 3, Y, S, X, Cybertruck)
• Subscribe to Tesla Full Self-Driving ($99/month)
• Use Tesla Supercharger network
• Buy Tesla solar panels or Powerwall batteries
• Subscribe to Starlink satellite internet ($120/month)
• Use X (Twitter) — free, or subscribe to X Premium ($8-16/month)
• Use xAI's Grok chatbot (via X or standalone)
• Donate to the Musk Foundation</t>
  </si>
  <si>
    <t>EXTREMELY EASY — Tesla is one of the world's most valuable consumer brands; Starlink serves millions; X/Twitter is a major social platform. Multiple direct consumer products at various price points.</t>
  </si>
  <si>
    <t>Elon</t>
  </si>
  <si>
    <t>Musk</t>
  </si>
  <si>
    <t>Kimbal Musk</t>
  </si>
  <si>
    <t>Social – referenced 140+ times in emails; socialized with Epstein from 2012; Epstein engineered a relationship between Musk and a young woman; resigned from Burning Man board</t>
  </si>
  <si>
    <t>138+ mentions in files. Lunched at Epstein's penthouse. 2012-2013 email exchanges. Invited Epstein to a party. Epstein invited him to the island; Kimbal replied 'That would be nice.' Epstein appeared to set him up with a girlfriend.</t>
  </si>
  <si>
    <t>• Dine at The Kitchen restaurants (locations in Colorado, Chicago, Indianapolis, Memphis, etc.)
• Buy Square Roots produce (sold at retail — indoor-farmed herbs and greens)
• Donate to Big Green (nonprofit that builds learning gardens in schools)
• Buy Tesla stock/products (major shareholder, board member)</t>
  </si>
  <si>
    <t>EASY — The Kitchen restaurants are real, mid-range farm-to-table dining; Square Roots produce appears in grocery stores; Big Green accepts donations.</t>
  </si>
  <si>
    <t>Kimbal</t>
  </si>
  <si>
    <t>Mira Nair</t>
  </si>
  <si>
    <t>Peripheral – attended 2009 afterparty at Maxwell's home alongside Clinton and Bezos</t>
  </si>
  <si>
    <t>• Watch her films ("Monsoon Wedding," "The Namesake," "Queen of Katwe" — streaming/purchase)
• Donate to Salaam Baalak Trust (street children in India — accepts international donations)
• Donate to Maisha Film Lab (East African filmmaker training)</t>
  </si>
  <si>
    <t>MODERATE — her films are widely available on streaming platforms; both nonprofits accept public donations.</t>
  </si>
  <si>
    <t>Mira</t>
  </si>
  <si>
    <t>Nair</t>
  </si>
  <si>
    <t>Annabelle Neilson</t>
  </si>
  <si>
    <t>Social/Recruiting – emailed Epstein numerous times (2010–2012); agreed to "put together a group of girls"; noted some were "past their sell-by date"</t>
  </si>
  <si>
    <t>Emails from 2010–2012 show she communicated with Epstein numerous times after his 2008 conviction. In these exchanges, she agreed to "put together a group of girls" for Epstein and noted that some were "past their sell-by date." Died in 2018 before the major file releases.</t>
  </si>
  <si>
    <t>Deceased (2018). No consequences during her lifetime from Epstein connection.</t>
  </si>
  <si>
    <t>• No current consumer routes — deceased (2018)
• Previously: watch Ladies of London (Bravo TV)</t>
  </si>
  <si>
    <t>NOT APPLICABLE — deceased (2018). No businesses or active nonprofits.</t>
  </si>
  <si>
    <t>Annabelle</t>
  </si>
  <si>
    <t>Neilson</t>
  </si>
  <si>
    <t>Elisa New</t>
  </si>
  <si>
    <t>Academic/Funding – thanked Epstein for arranging donation to her Harvard project; Epstein foundation claimed $110K donation to her nonprofit; issued apology</t>
  </si>
  <si>
    <t>Harvard professor. Appears in files but specific post-2008 evidence is limited in publicly analyzed documents.</t>
  </si>
  <si>
    <t>• Watch Poetry in America on PBS
• Donate to Verse Video Education (educational nonprofit)
• Buy her books on American literature</t>
  </si>
  <si>
    <t>MODERATE — Poetry in America is free on PBS (supported by viewer donations); Verse Video Education accepts donations.</t>
  </si>
  <si>
    <t>Elisa</t>
  </si>
  <si>
    <t>New</t>
  </si>
  <si>
    <t>Boris Nikolic</t>
  </si>
  <si>
    <t>Professional/Social – named backup executor of Epstein's estate (without consent); met Clinton and Prince Andrew through Epstein; Epstein engineered relationship for Kimbal Musk</t>
  </si>
  <si>
    <t>Former science adviser to Bill Gates. Named as backup executor in Epstein's 2019 will. Extensive email exchanges. Key intermediary between Epstein and the Musk brothers. Active contact well after 2008.</t>
  </si>
  <si>
    <t>Named as fallback executor in Epstein's will (signed two days before Epstein's death). Declined the role. Faced media scrutiny but no known formal professional consequences.</t>
  </si>
  <si>
    <t>• Indirectly: use products from Biomatics portfolio companies (Editas Medicine, Twist Bioscience, Grail cancer screening, Denali Therapeutics)
• Get a Galleri cancer screening test by Grail (consumer health product)</t>
  </si>
  <si>
    <t>DIFFICULT — primarily a VC investor. Grail's Galleri multi-cancer screening test (~$949) is the most direct consumer product from his portfolio.</t>
  </si>
  <si>
    <t>Boris</t>
  </si>
  <si>
    <t>Nikolic</t>
  </si>
  <si>
    <t>Martin Nowak</t>
  </si>
  <si>
    <t>Academic/Financial – led Harvard program funded by $6.5M Epstein donation; Epstein visited Harvard ~40 times post-jail; publicist said Nowak "loves you"; placed under Harvard sanctions for two years</t>
  </si>
  <si>
    <t>Received $6.5M Epstein grant for Harvard program in 2003. Met with Epstein at his Harvard office in 2015 with Chomsky. 2014 emails include Epstein responding 'did you torture her' to a message about 'our spy.' Continued close collaboration.</t>
  </si>
  <si>
    <t>Harvard's Program for Evolutionary Dynamics (PED), founded with $6.5M from Epstein, was closed in 2021. Nowak was placed under sanctions by Harvard (lifted in 2023). Epstein had a personal office in the PED building. Significant academic consequences. While the Program for Evolutionary Dynamics was closed and he was placed under sanctions (since lifted), Nowak retained his Harvard professorship throughout. He continues to hold a faculty position at one of the world's most prestigious universities.</t>
  </si>
  <si>
    <t>• Buy his books ("SuperCooperators")
• Enroll at Harvard (tuition indirectly supports his salary)</t>
  </si>
  <si>
    <t>VERY DIFFICULT — pure academic with no consumer-facing ventures. His Harvard program was closed.</t>
  </si>
  <si>
    <t>Martin</t>
  </si>
  <si>
    <t>Nowak</t>
  </si>
  <si>
    <t>Hans Ulrich Obrist</t>
  </si>
  <si>
    <t>Social/Academic – invited to Brockman event in Palo Alto with Epstein</t>
  </si>
  <si>
    <t>Art world figure. Limited post-2008 evidence in released files.</t>
  </si>
  <si>
    <t>• Visit the Serpentine Galleries in London (free admission, but donations/shop/events)
• Visit The Shed in NYC (tickets to exhibitions and performances)
• Visit LUMA Arles in France (admission)
• Buy his many published books and interviews</t>
  </si>
  <si>
    <t>MODERATE — Serpentine is free but accepts donations; The Shed and LUMA Arles charge admission. He's a prolific author of art books.</t>
  </si>
  <si>
    <t>Hans Ulrich</t>
  </si>
  <si>
    <t>Obrist</t>
  </si>
  <si>
    <t>Mehmet Oz</t>
  </si>
  <si>
    <t>Peripheral – 2004 travel expense paid by Epstein; invited to 2014 event; sent 2016 email (contents redacted)</t>
  </si>
  <si>
    <t>Appears in files but specific post-2008 contact evidence is limited.</t>
  </si>
  <si>
    <t>No known consequences specifically from Epstein connection. Association raised during political campaigns but did not prevent his appointment as CMS Administrator.</t>
  </si>
  <si>
    <t>• Watch Dr. Oz Show reruns/syndication (royalties)
• Buy his bestselling books ("YOU: The Owner's Manual" series, etc.)
• Donate to HealthCorps (teen health education nonprofit)
• Buy products he endorsed on his show (various health/wellness brands)
• Indirectly: his investment holdings include Walmart, Apple, Nvidia, UnitedHealth, AbbVie — consumer spending at these benefits his portfolio</t>
  </si>
  <si>
    <t>⚠️ SUBTLE — EASY — Dr. Oz built a massive consumer brand through TV, books, and product endorsements; his investment portfolio also spans major consumer companies.</t>
  </si>
  <si>
    <t>Mehmet</t>
  </si>
  <si>
    <t>Oz</t>
  </si>
  <si>
    <t>Andrés Pastrana Arango</t>
  </si>
  <si>
    <t>Political/Social – flew on Lolita Express to Cuba to meet Castro (2003); photographed with Maxwell in Colombian military uniforms</t>
  </si>
  <si>
    <t>Former Colombian president. Appears in files but specific post-2008 evidence from released documents is limited.</t>
  </si>
  <si>
    <t>• No readily accessible consumer routes for international consumers
• In Colombia: watch Hoy television programming (he founded it decades ago)</t>
  </si>
  <si>
    <t>VERY DIFFICULT — retired politician with no current consumer-facing businesses outside of legacy Colombian media.</t>
  </si>
  <si>
    <t>Andrés</t>
  </si>
  <si>
    <t>Pastrana Arango</t>
  </si>
  <si>
    <t>John Phelan</t>
  </si>
  <si>
    <t>Peripheral – name on 2006 flight manifest alongside Jean-Luc Brunel and six redacted names</t>
  </si>
  <si>
    <t>No (pre-conviction)</t>
  </si>
  <si>
    <t>Name present on 2006 flight manifest (before 2008 conviction). No post-2008 contact established in files.</t>
  </si>
  <si>
    <t>• Visit the Whitney Museum of American Art (admission/donations — he's on the board)
• Visit Aspen Art Museum (he's Chairman)
• Donate to Cold Spring Harbor Laboratory
• Donate to Spirit of America or Third Option Foundation (military/veterans nonprofits)</t>
  </si>
  <si>
    <t>MODERATE — museum admissions and nonprofit donations are the main routes. His investment firms serve Michael Dell, not the public.</t>
  </si>
  <si>
    <t>Phelan</t>
  </si>
  <si>
    <t>Jean Pigozzi</t>
  </si>
  <si>
    <t>Social – substantial correspondence; discussed a "red head" with Epstein in 2013; said he regretted meeting Epstein</t>
  </si>
  <si>
    <t>Appears in Epstein's social circle but specific post-2008 evidence from released files requires further analysis.</t>
  </si>
  <si>
    <t>• Visit exhibitions of the Pigozzi Collection (shown at various museums worldwide)
• Buy his photography books
• Buy his fashion/design products (he has designed clothing lines)</t>
  </si>
  <si>
    <t>DIFFICULT — primarily a private collector and heir. His art collections tour museums but aren't directly monetized to consumers.</t>
  </si>
  <si>
    <t>Jean</t>
  </si>
  <si>
    <t>Pigozzi</t>
  </si>
  <si>
    <t>Steven Pinker</t>
  </si>
  <si>
    <t>Academic/Legal – intersected with Epstein through multiple associates; helped with Epstein's legal defense; video footage on Lolita Express</t>
  </si>
  <si>
    <t>Intersected with Epstein through Brockman, Dershowitz, Kosslyn, Krauss, Nowak. Helped with Epstein's pre-conviction legal defense. Video footage shows Pinker on Epstein's plane (date unclear). Has said he regrets association.</t>
  </si>
  <si>
    <t>Faced public scrutiny and criticism for attending Epstein-hosted events. No professional consequences at Harvard.</t>
  </si>
  <si>
    <t>• Buy his many bestselling books ("The Better Angels of Our Nature," "Enlightenment Now," "Rationality," "The Language Instinct")
• Pay to attend his lectures and speaking events
• Watch his TED talks and media appearances (indirect — ad revenue)</t>
  </si>
  <si>
    <t>EASY — he's one of the most widely-read popular science authors alive. His books are perennial bestsellers available everywhere.</t>
  </si>
  <si>
    <t>Steven</t>
  </si>
  <si>
    <t>Pinker</t>
  </si>
  <si>
    <t>Stacey Plaskett</t>
  </si>
  <si>
    <t>Political – text messages appeared to show Epstein communicating with her during 2019 House Oversight hearing; she asked a question seemingly prompted by Epstein's texts</t>
  </si>
  <si>
    <t>Text messages show Epstein communicating with the USVI delegate during a Feb 2019 House Oversight Committee hearing. Contact after 2008 established.</t>
  </si>
  <si>
    <t>Faced scrutiny as USVI delegate for receiving campaign donations linked to Epstein associates. No formal consequences or loss of position.</t>
  </si>
  <si>
    <t>• Donate to her political campaign
• Visit the U.S. Virgin Islands (tourism revenue supports the territorial government she represents)</t>
  </si>
  <si>
    <t>DIFFICULT — active politician; campaign donations are the most direct route. No commercial ventures.</t>
  </si>
  <si>
    <t>Stacey</t>
  </si>
  <si>
    <t>Plaskett</t>
  </si>
  <si>
    <t>Christopher Poole</t>
  </si>
  <si>
    <t>Peripheral – met Epstein once in Oct 2011 for lunch; Epstein found him "very bright"; denied any further connection</t>
  </si>
  <si>
    <t>• Visit 4chan (he sold it in 2015 — no longer benefits)
• No current consumer-facing products identified</t>
  </si>
  <si>
    <t>VERY DIFFICULT — he sold 4chan, left Google, and DrawQuest shut down. No known current consumer-facing ventures.</t>
  </si>
  <si>
    <t>Christopher</t>
  </si>
  <si>
    <t>Poole</t>
  </si>
  <si>
    <t>Soon-Yi Previn</t>
  </si>
  <si>
    <t>Social – maintained email correspondence with Epstein; criticized MeToo movement and a Weiner victim in emails to Epstein; Epstein helped her daughter attend Bard</t>
  </si>
  <si>
    <t>Woody Allen's wife. Regular guest at Epstein's townhouse from 2010 onward alongside Allen. 2015 emails show Epstein arranging White House visit for Allen and Previn.</t>
  </si>
  <si>
    <t>Actress and wife of Woody Allen</t>
  </si>
  <si>
    <t>• No independent consumer-facing businesses or nonprofits
• Indirectly: watch Woody Allen films (she benefits as his spouse)</t>
  </si>
  <si>
    <t>VERY DIFFICULT — no independent commercial or charitable channels.</t>
  </si>
  <si>
    <t>Soon-Yi</t>
  </si>
  <si>
    <t>Previn</t>
  </si>
  <si>
    <t>Princess Sofia, Duchess of Värmland</t>
  </si>
  <si>
    <t>Social – Met Epstein a few times in 2005 in NYC; invited to island (claims she declined)</t>
  </si>
  <si>
    <t>Limited evidence in released files. Tangential connection through Scandinavian social circles.</t>
  </si>
  <si>
    <t>• Donate to Project Playground (nonprofit for vulnerable children in South Africa and Sweden)
• Donate to Sophiahemmet hospital/nursing college (she is patron)
• Support the Swedish Dyslexia Association</t>
  </si>
  <si>
    <t>MODERATE — Project Playground and Sophiahemmet accept public donations; accessible charitable routes, especially in Sweden.</t>
  </si>
  <si>
    <t>Princess Sofia</t>
  </si>
  <si>
    <t>Penny Pritzker</t>
  </si>
  <si>
    <t>Peripheral – discussed by her cousin Tom Pritzker and Epstein; Tom alleged she understated income by ~$80M</t>
  </si>
  <si>
    <t>Limited post-2008 evidence in released files specific to Penny Pritzker.</t>
  </si>
  <si>
    <t>• Park at The Parking Spot (airport parking chain — ~40 locations across the US)
• Live at Vi Senior Living communities (luxury senior living, ~10 locations nationwide)
• Use Microsoft products (she sits on the board — earns director fees)
• Previously: stay at Hyatt Hotels (former board, Pritzker family connection)
• Buy Wrigley's gum/candy (former board — now Mars subsidiary)</t>
  </si>
  <si>
    <t>EASY — The Parking Spot is a common airport parking brand many travelers use regularly; Vi Senior Living is a direct consumer service; Microsoft board seat means every Windows/Office user indirectly contributes.</t>
  </si>
  <si>
    <t>Penny</t>
  </si>
  <si>
    <t>Pritzker</t>
  </si>
  <si>
    <t>Thomas Pritzker</t>
  </si>
  <si>
    <t>Social/Business – email exchanges with Epstein; forwarded family financial details; visited Epstein and described it as "always fun"</t>
  </si>
  <si>
    <t>Exchanged friendly emails with Epstein after 2008 plea deal. Said he 'exercised terrible judgment in maintaining contact.' Stepped down as Hyatt chairman Feb 16, 2026.</t>
  </si>
  <si>
    <t xml:space="preserve">Announced retirement as executive chairman of Hyatt Hotels Corporation on February 16, 2026, effective immediately. Will not seek re-election to Hyatt's board at the 2026 annual stockholder meeting. Said he "deeply regrets" his association with Epstein and Maxwell and acknowledged "terrible judgment in maintaining contact with them." Released emails showed at least 20 exchanges with Epstein from 2010 to early 2019, including a 2018 exchange where Pritzker joked about finding Epstein a new girlfriend. CEO Mark Hoplamazian succeeded him as chairman immediately. Pritzker, 75, had held the executive chairman role for over 20 years. He remains executive chairman of The Pritzker Organization and retains his family's controlling stake in Hyatt (~21% of shares). Net worth estimated at $7B+.
</t>
  </si>
  <si>
    <t>• Stay at Hyatt Hotels (resigned as chairman Feb 2026; Pritzker family remains controlling shareholder)
• Previously: cruise with Royal Caribbean (former director until 2020)
• Indirectly: use shipping containers leased by Triton (one of world's largest lessors — invisible to consumers but embedded in global trade)</t>
  </si>
  <si>
    <t>⚠️ SUBTLE — EASY — Hyatt Hotels is a major global consumer brand with thousands of properties. Even after his resignation, the Pritzker family remains the controlling shareholder.</t>
  </si>
  <si>
    <t>Thomas</t>
  </si>
  <si>
    <t>Hardeep Singh Puri</t>
  </si>
  <si>
    <t>Political – emailed Epstein in 2014 about engaging with India post-Modi election; admitted meeting Epstein 3–4 times as part of delegations</t>
  </si>
  <si>
    <t>• No direct consumer routes for international consumers
• In India: buy petroleum products regulated by his ministry (Indian Oil, BPCL, HPCL — state-owned)</t>
  </si>
  <si>
    <t>VERY DIFFICULT — active Indian government minister; no commercial ventures. His ministry oversees Indian fuel companies but he doesn't personally benefit from consumer purchases.</t>
  </si>
  <si>
    <t>Hardeep Singh</t>
  </si>
  <si>
    <t>Puri</t>
  </si>
  <si>
    <t>Pusha T (Terrence Thornton)</t>
  </si>
  <si>
    <t>Allegation – named in FBI crisis intake form by anonymous victim as one of her "handlers" during drugging and abuse</t>
  </si>
  <si>
    <t>No known consequences. Rapper's name appeared in Epstein files but no substantive connection established beyond being mentioned in documents.</t>
  </si>
  <si>
    <t>• Stream his music (Spotify, Apple Music, etc.)
• Buy concert tickets and merchandise
• Buy his albums ("It's Almost Dry," "Daytona," etc.)
• He served as president of Kanye West's G.O.O.D. Music label</t>
  </si>
  <si>
    <t>EASY — his music is on all major streaming platforms; active touring artist with merchandise.</t>
  </si>
  <si>
    <t>T</t>
  </si>
  <si>
    <t>Pusha</t>
  </si>
  <si>
    <t>Vladimir Putin</t>
  </si>
  <si>
    <t>Political – Epstein attempted to secure meetings with Putin for years; leveraged Jagland and Barak as intermediaries; name appears 1,000+ times (many tangential); FBI report said Epstein provided wealth management services</t>
  </si>
  <si>
    <t>Epstein attempted to secure an audience with Putin for years in the 2010s, leveraging Jagland and others. Scheduled appointments in 2011 and 2014. Unclear if meetings ever occurred. No direct relationship established.</t>
  </si>
  <si>
    <t>No consequences related to Epstein files. Putin's name appeared in context of geopolitical discussions in Epstein's correspondence, not direct personal association. Putin faces separate international sanctions and ICC arrest warrant related to Ukraine conflict, unrelated to Epstein.</t>
  </si>
  <si>
    <t>• Buy Russian natural gas or oil products (Gazprom, Rosneft — state-controlled; flows through European energy markets)
• Indirectly: any purchase of goods transported using Russian energy</t>
  </si>
  <si>
    <t>SANCTIONED / VERY INDIRECT — Western sanctions severely restrict direct financial flows. Historically, European gas consumers funded Gazprom revenues, which strengthened Putin's state. Direct consumer routes are now largely cut off in the West.</t>
  </si>
  <si>
    <t>Vladimir</t>
  </si>
  <si>
    <t>Putin</t>
  </si>
  <si>
    <t>Joshua Cooper Ramo</t>
  </si>
  <si>
    <t>Business/Consulting – Dozen+ meetings at Epstein's townhouse (2013–2017)</t>
  </si>
  <si>
    <t>Co-CEO of Kissinger Associates. Appears in files but specific post-2008 evidence requires further analysis.</t>
  </si>
  <si>
    <t>No known consequences. Former vice chairman of Kissinger Associates and FedEx board member. Named in files but no formal repercussions reported.</t>
  </si>
  <si>
    <t>• Ship with FedEx (he's on the board — earns director fees)
• Previously: buy Starbucks coffee (former board member)
• Buy his books ("The Seventh Sense," "The Age of the Unthinkable")</t>
  </si>
  <si>
    <t>⚠️ SUBTLE — MODERATE — FedEx is a major consumer service; every package shipped contributes to the company that pays his board fees.</t>
  </si>
  <si>
    <t>Joshua Cooper</t>
  </si>
  <si>
    <t>Ramo</t>
  </si>
  <si>
    <t>Lisa Randall</t>
  </si>
  <si>
    <t>Academic/Social – In-person meetings, island visit, hundreds of messages</t>
  </si>
  <si>
    <t>Hundreds of messages exchanged. Joked about Epstein's house arrest in 2010 email. Visited his private island in Nov 2014. Met Epstein through John Brockman in 2004. Said she 'deeply regrets maintaining contact.'</t>
  </si>
  <si>
    <t>No known consequences. Harvard theoretical physicist appeared in Epstein's contact lists. No allegations of wrongdoing or professional repercussions.</t>
  </si>
  <si>
    <t>• Buy her books ("Warped Passages," "Knocking on Heaven's Door," "Dark Matter and the Dinosaurs")
• Pay to attend her lectures</t>
  </si>
  <si>
    <t>MODERATE — her books are well-known popular science titles; no commercial ventures beyond publishing and academia.</t>
  </si>
  <si>
    <t>Lisa</t>
  </si>
  <si>
    <t>Randall</t>
  </si>
  <si>
    <t>Brett Ratner</t>
  </si>
  <si>
    <t>Social – Photographed with Epstein and Brunel; no indication of wrongdoing</t>
  </si>
  <si>
    <t>Appeared in undated photographs with Epstein and Jean-Luc Brunel. Timing of contact relative to 2008 is unclear.</t>
  </si>
  <si>
    <t>SIGNIFICANT CONSEQUENCES (primarily from separate #MeToo allegations, compounded by Epstein connection): Warner Bros. severed ties (2017), ending a $450M co-financing deal. Career effectively stalled for 7 years. RatPac Entertainment dissolved. However, staging a comeback via 'Melania' documentary (released Jan 2026) and Rush Hour 4 now in development. Photos with Epstein and Jean-Luc Brunel surfaced in Jan 2026 DOJ file release, reigniting controversy. Despite career exile, Ratner retained personal wealth from years of blockbuster filmmaking. Moved to Israel in 2023 and cultivated relationship with PM Netanyahu. His comeback is directly enabled by Trump political connections — 'Melania' documentary was produced with first lady's cooperation, and Rush Hour 4 revival reportedly facilitated by Trump leaning on Larry Ellison/Paramount. His financial position was never truly threatened.</t>
  </si>
  <si>
    <t>• Buy Hilhaven Lodge whiskey (produced in partnership with Diageo — available at liquor stores)
• Watch his films ("Rush Hour" series, "X-Men: The Last Stand" — streaming royalties)
• Previously: RatPac co-financed 75+ Warner Bros. films (Wonder Woman, Dunkirk, etc.) — ties severed after allegations</t>
  </si>
  <si>
    <t>MODERATE — Hilhaven Lodge whiskey is a real consumer product on shelves; his film catalog generates ongoing streaming royalties, though his active career is largely paused.</t>
  </si>
  <si>
    <t>Brett</t>
  </si>
  <si>
    <t>Ratner</t>
  </si>
  <si>
    <t>Terje Rød-Larsen</t>
  </si>
  <si>
    <t>Personal Friendship – Called Epstein "my best friend"; children left $5M each in Epstein's will</t>
  </si>
  <si>
    <t>Described Epstein as 'my best friend' and 'a thoroughly good human being.' Central node in Epstein's Norwegian network. Facilitated visas for young Russian women for Epstein. Received $250K payment from Epstein in 2015. Children left $5M each in Epstein's will. Under corruption investigation.</t>
  </si>
  <si>
    <t>SEVERE CONSEQUENCES: Resigned as president/CEO of International Peace Institute (Oct 2020) after $130K personal loan from Epstein and $650K in undisclosed Epstein foundation donations to IPI were revealed. Described Epstein as 'my best friend.' In Feb 2026, charged by Norway's Økokrim with aiding and abetting aggravated corruption alongside wife Mona Juul. Accused of helping Epstein obtain visas for young Russian women by writing false recommendation letters. Each of his children named as $5M beneficiaries in Epstein's will. Under active criminal investigation.</t>
  </si>
  <si>
    <t>• Donate to Fafo Institute for Applied Social Science (Oslo-based research institute)
• Previously: donate to International Peace Institute (he resigned in 2020)</t>
  </si>
  <si>
    <t>VERY DIFFICULT — career diplomat/UN official; the only route is donations to Fafo, a niche Norwegian research institute.</t>
  </si>
  <si>
    <t>Terje</t>
  </si>
  <si>
    <t>Rød-Larsen</t>
  </si>
  <si>
    <t>David A. Ross</t>
  </si>
  <si>
    <t>Personal Friendship/Patron – Friends since 1990s; celebrated Epstein's release; agreed to fund exhibitions</t>
  </si>
  <si>
    <t>When Epstein was released from jail in 2009, Ross emailed celebrating his release from an 'undeserved punishment foisted upon you by jealous creeps.' Epstein then offered to fund exhibition called 'Statutory' about 'girls and boys ages 14-25.' Resigned from SVA in Feb 2026.</t>
  </si>
  <si>
    <t>No known consequences. Name appeared in Epstein's contact records. No formal repercussions reported.</t>
  </si>
  <si>
    <t>• Shop at Currys (formerly Carphone Warehouse — UK's largest electronics/telecoms retailer)
• Donate to the David Ross Foundation (education charity)
• Support schools in the David Ross Education Trust (academy chain in England)
• Attend Grimsby Town FC matches (buy tickets/merchandise)</t>
  </si>
  <si>
    <t>EASY (in the UK) — Currys is a household name on every British high street. He co-founded what became the UK's dominant electronics retailer.</t>
  </si>
  <si>
    <t>David A.</t>
  </si>
  <si>
    <t>Ross</t>
  </si>
  <si>
    <t>Ariane de Rothschild</t>
  </si>
  <si>
    <t>Business – Dozen+ meetings (2013–2019); $25M contract; auction purchases on Epstein's behalf</t>
  </si>
  <si>
    <t>Jan 2014 schedule shows appointment with Epstein. Bought sofas for Epstein's island. Emails show she 'misses our discussions.' Met Epstein with Ehud Barak in Paris (Jan 2014). Met Epstein multiple times in New York and Paris before his 2019 arrest.</t>
  </si>
  <si>
    <t>No known consequences. Name appeared in Epstein's social network documents. No allegations of wrongdoing.</t>
  </si>
  <si>
    <t>• Buy Edmond de Rothschild wines (vineyards in Bordeaux, including Château Clarke and others)
• Stay at Edmond de Rothschild Heritage hotels/estates
• Use Edmond de Rothschild private banking services (high-net-worth)
• Visit Edmond de Rothschild Heritage farm products/experiences
• Donate to Edmond de Rothschild Foundations</t>
  </si>
  <si>
    <t>MODERATE — the wines are available at wine shops and restaurants; the heritage hotels/estates are consumer-bookable. Private banking requires significant wealth.</t>
  </si>
  <si>
    <t>Ariane de</t>
  </si>
  <si>
    <t>Rothschild</t>
  </si>
  <si>
    <t>Lynn Forester de Rothschild</t>
  </si>
  <si>
    <t>Social Connector – Introduced people to Epstein (Dershowitz, Prince Andrew, Mandelson)</t>
  </si>
  <si>
    <t>Event invitations show Epstein invited alongside 'Evelyn and Lynn de Rothschild.' Epstein emailed about her ex-husband Andrew Stein in 2010. Post-2008 social contact appears limited.</t>
  </si>
  <si>
    <t>No known consequences beyond media scrutiny. Business executive and wife of Evelyn de Rothschild appeared in Epstein's contacts and correspondence. No professional or legal repercussions.</t>
  </si>
  <si>
    <t>• Buy Estée Lauder products (she's been on the board since 2000 — earns director fees from Clinique, MAC, La Mer, etc.)
• Subscribe to The Economist (she's on the Economist Group board since 2002)
• Support the Council for Inclusive Capitalism (accepts institutional engagement)</t>
  </si>
  <si>
    <t>EASY — Estée Lauder products and The Economist subscription are mainstream consumer purchases that fund companies paying her board fees.</t>
  </si>
  <si>
    <t xml:space="preserve">Lynn Forester de </t>
  </si>
  <si>
    <t>Marc Rowan</t>
  </si>
  <si>
    <t>Business/Financial – Corresponded on Apollo tax arrangements throughout 2010s despite denials</t>
  </si>
  <si>
    <t>Apollo CEO. First met Epstein Sept 2013 at Apollo's offices. Multiple meetings 2013-2016. Black instructed Rowan to call Epstein regarding 'donor advised funds.' Epstein cc'd on Apollo tax matters. AFT/AAUP demand SEC probe over discrepancies.</t>
  </si>
  <si>
    <t>No formal consequences. Apollo Global Management co-founder and current CEO. Appeared in Epstein files through Apollo connection — was reportedly opposed to Leon Black's relationship with Epstein. No personal allegations of wrongdoing. Continues as Apollo CEO overseeing $840B+ in AUM. Rowan is currently CEO of Apollo Global Management with a net worth estimated at $8B+. He was reportedly on the side of Josh Harris in opposing Epstein's involvement with Apollo. His position has actually been strengthened by the Epstein fallout, as he replaced Leon Black as CEO.</t>
  </si>
  <si>
    <t>• Apollo owns or controls many consumer-touching companies (similar to Leon Black entry — Shutterfly, Yahoo, ADT, Rackspace, Cox Media, etc.)
• Buy an annuity or retirement product from Athene (major insurance/annuities company)
• Consumer spending at any Apollo portfolio company indirectly benefits him as co-founder/CEO</t>
  </si>
  <si>
    <t>⚠️ SUBTLE — INDIRECT but WIDESPREAD — like Leon Black, Apollo's vast portfolio means consumers likely already spend at Apollo-owned businesses. Athene retirement products are a more direct route.</t>
  </si>
  <si>
    <t>Marc</t>
  </si>
  <si>
    <t>Rowan</t>
  </si>
  <si>
    <t>Kevin Rudd</t>
  </si>
  <si>
    <t>Political/Social – Scheduled meeting &amp; dinner invitation; denies meetings or correspondence</t>
  </si>
  <si>
    <t>No personal consequences. Former Australian PM served as chairman of the IPI board when Terje Rød-Larsen resigned over Epstein links in 2020. Rudd expressed disappointment at learning of the Epstein connections through media. He went on to serve as Australia's Ambassador to the US (2023-2025). No personal allegations.</t>
  </si>
  <si>
    <t>• Attend Asia Society events and programs (lectures, exhibitions, cultural events in NYC and other cities)
• Buy his books ("The Avoidable War" on US-China relations)
• Donate to the National Apology Foundation (Australia)</t>
  </si>
  <si>
    <t>MODERATE — Asia Society hosts public events and accepts donations; his book on US-China relations was widely read.</t>
  </si>
  <si>
    <t>Kevin</t>
  </si>
  <si>
    <t>Rudd</t>
  </si>
  <si>
    <t>Kathryn Ruemmler</t>
  </si>
  <si>
    <t>Personal/Professional – Frequent correspondence; received lavish gifts; one of three people Epstein called upon arrest</t>
  </si>
  <si>
    <t>Former Obama White House counsel. Dec 2015 email saying she 'adores' Epstein. Helped arrange White House visit for Woody Allen through Epstein in 2015. One of three people Epstein called upon 2019 arrest. Resigned from Goldman Sachs Feb 12, 2026.</t>
  </si>
  <si>
    <t>Announced resignation as Chief Legal Officer and General Counsel of Goldman Sachs on February 12, 2026, effective June 30, 2026. Goldman had defended her for months as Epstein files revealed she exchanged over 11,000 emails with Epstein between 2014–2019, called him "Uncle Jeffrey," "sweetie," and "wonderful Jeffrey," received luxury gifts including Hermès bags and a fur coat, and was one of three people Epstein called upon his July 2019 arrest. Goldman CEO David Solomon called her "extraordinary" but accepted her resignation, which she framed as putting "Goldman Sachs' interests first." She had previously served as White House Counsel under Obama (2011–2014). She retains her partnership-level wealth from Goldman and prior roles at Latham &amp; Watkins.</t>
  </si>
  <si>
    <t>• Use Goldman Sachs financial products (Marcus savings accounts, Apple Card partnership, Goldman Sachs Asset Management funds) — she recently resigned
• Hire Latham &amp; Watkins for legal services (she formerly led their white-collar practice)</t>
  </si>
  <si>
    <t>DIFFICULT — Goldman Sachs has some consumer products (Marcus, Apple Card), but she resigned in Feb 2026. No personal consumer-facing ventures.</t>
  </si>
  <si>
    <t>Kathryn</t>
  </si>
  <si>
    <t>Ruemmler</t>
  </si>
  <si>
    <t>Mohammed bin Salman</t>
  </si>
  <si>
    <t>Political/Social – gifted Epstein a tent after Saudi trip; Epstein kept framed photo of them together</t>
  </si>
  <si>
    <t>Appears in files in connection with Middle Eastern contacts but specific post-2008 evidence of direct relationship is limited in released documents.</t>
  </si>
  <si>
    <t>No consequences related to Epstein files. Saudi Crown Prince's name appeared in Epstein correspondence context. MBS faces separate international scrutiny over Khashoggi murder (2018), unrelated to Epstein.</t>
  </si>
  <si>
    <t>• Buy Saudi Aramco fuel/products (PIF is largest shareholder — Aramco is the world's largest oil company)
• Use products from PIF portfolio companies: Uber, Lucid Motors, AMC Entertainment, Noon.com, SAVVY Gaming Group
• Play video games from Manga Productions or SAVVY Gaming Group portfolio (ESL, FACEIT, Scopely)
• Attend events at NEOM or Saudi tourism destinations (Vision 2030 tourism push)
• Buy Saudi crude oil-derived gasoline (indirect — Aramco refining)</t>
  </si>
  <si>
    <t>⚠️ SUBTLE — EASY and PERVASIVE — PIF's investment portfolio touches Uber, AMC, Lucid, gaming, and global oil markets. Most drivers indirectly fund Saudi Arabia through petroleum.</t>
  </si>
  <si>
    <t>Mohammed bin</t>
  </si>
  <si>
    <t>Salman</t>
  </si>
  <si>
    <t>David Schoen</t>
  </si>
  <si>
    <t>Professional/Legal – Correspondence 2011–2019; dismissed victims as "extortionists"</t>
  </si>
  <si>
    <t>Helped negotiate Epstein's 2008 plea deal. Has supported the Trump administration's position that further Epstein disclosure was unnecessary. Continued connection as Epstein's attorney.</t>
  </si>
  <si>
    <t>No known consequences. Attorney who represented Donald Trump in his second impeachment trial. Name appeared in Epstein files. No professional repercussions.</t>
  </si>
  <si>
    <t>• Hire him as a lawyer (private practice in Montgomery, Alabama)</t>
  </si>
  <si>
    <t>VERY DIFFICULT — solo attorney; no consumer products, nonprofits, or public-facing businesses beyond his law practice.</t>
  </si>
  <si>
    <t>Schoen</t>
  </si>
  <si>
    <t>Al Seckel</t>
  </si>
  <si>
    <t>Business/Reputation Management – Paid for SEO, Wikipedia editing, downranking negative coverage</t>
  </si>
  <si>
    <t>Late 2010 email to Epstein discussed replacing Epstein's mug shot on Wikipedia with a friendly photo and removing 'sex offender' term from his Wikipedia article. Active in reputation rehabilitation.</t>
  </si>
  <si>
    <t>Deceased (2015). Perceptual psychologist and author who was found dead in unclear circumstances in France. Had been under investigation for fraud unrelated to Epstein prior to death.</t>
  </si>
  <si>
    <t>• Buy his books on optical illusions (he published several popular illusion books)
• Donate to the Skeptics Society (which absorbed his organization)</t>
  </si>
  <si>
    <t>DIFFICULT — his illusion books are available but niche. Largely disappeared from public life amid fraud allegations.</t>
  </si>
  <si>
    <t>Al</t>
  </si>
  <si>
    <t>Seckel</t>
  </si>
  <si>
    <t>Andres Serrano</t>
  </si>
  <si>
    <t>Social/Artistic – Photographed Epstein in 2019; email exchanges</t>
  </si>
  <si>
    <t>No known consequences. Artist known for controversial works. Name appeared in Epstein's contact lists. No allegations or professional repercussions.</t>
  </si>
  <si>
    <t>• Buy his artwork or photography prints (known for "Piss Christ" and other provocative work)
• Attend his gallery exhibitions
• Buy his published photography books</t>
  </si>
  <si>
    <t>MODERATE — his art and photography books are available, though fine art purchases are typically high-priced. Gallery exhibitions are accessible.</t>
  </si>
  <si>
    <t>Andres</t>
  </si>
  <si>
    <t>Serrano</t>
  </si>
  <si>
    <t>Peggy Siegal</t>
  </si>
  <si>
    <t>Social/Professional – served as social fixer who organized film screenings and events to rehabilitate Epstein's image after his 2008 conviction; appeared extensively in 2026 DOJ files as intermediary between Epstein and Hollywood figures; continued socializing in Epstein's orbit post-2008 including correspondence during a 2009 Kenya trip</t>
  </si>
  <si>
    <t>Oct 2009 email to Epstein mentioning she just left Ghislaine Maxwell's house. Continued socializing in Epstein's orbit after 2008.</t>
  </si>
  <si>
    <t>SIGNIFICANT CONSEQUENCES: Hollywood publicist lost virtually all her clients and was effectively blacklisted from the entertainment industry after her role as a social fixer for Epstein was exposed. She had organized screenings and social events that helped rehabilitate Epstein's image after his 2008 conviction. Her PR firm collapsed. Appeared extensively in 2026 DOJ files as intermediary between Epstein and Hollywood figures.</t>
  </si>
  <si>
    <t>• Hire the Peggy Siegal Company for film PR/event planning</t>
  </si>
  <si>
    <t>VERY DIFFICULT — B2B PR firm serving the entertainment industry; no consumer-facing products or services.</t>
  </si>
  <si>
    <t>Peggy</t>
  </si>
  <si>
    <t>Siegal</t>
  </si>
  <si>
    <t>Kevin Spacey</t>
  </si>
  <si>
    <t>Social – Photographed with Epstein; flew on plane for Clinton Foundation trip; denies spending time with him</t>
  </si>
  <si>
    <t>Named in emails (Krauss listed him among men accused of misconduct for hypothetical 'men of the world conference'). Limited direct post-2008 contact evidence in files.</t>
  </si>
  <si>
    <t>SIGNIFICANT CONSEQUENCES (primarily from separate sexual misconduct allegations, compounded by Epstein association): Fired from House of Cards (2017). Lost virtually all acting work. Faced criminal charges in UK (acquitted 2023) and US civil lawsuit (found not liable 2022). Faces new UK civil claims from three men scheduled for Oct 2026. Appeared in Epstein flight logs flying with Clinton Foundation members. Photos with Epstein released in Jan 2026 DOJ files. Claims to have had no personal relationship with Epstein. Spacey has stated publicly he is in severe financial difficulty, facing millions in debt. Unlike most others on this list, his consequences appear to have genuinely decimated his wealth and career. However, his primary consequences stem from the separate #MeToo allegations, not the Epstein connection specifically.</t>
  </si>
  <si>
    <t>• Stream his older films and TV shows ("House of Cards," "American Beauty," "The Usual Suspects" — royalties to his estate/production credits)
• Watch his newer independent films (he's appeared in several low-budget films post-allegations)</t>
  </si>
  <si>
    <t>DIFFICULT — most commercial relationships severed; streaming older content is the primary remaining route. Foundation closed.</t>
  </si>
  <si>
    <t>Spacey</t>
  </si>
  <si>
    <t>Jes Staley</t>
  </si>
  <si>
    <t>Business/Financial – Trustee of Epstein's estate; executor; stepped down from Barclays over relationship</t>
  </si>
  <si>
    <t>JP Morgan executive; extensive email exchanges with Epstein. Emails show coordination with Mandelson at Epstein's property in 2012. Jan 2014 schedule shows appointment same day as Ariane de Rothschild and Leon Black. Forensically-verified victim diary contains accusations. Resigned from Barclays 2021; banned from UK finance.</t>
  </si>
  <si>
    <t>SEVERE CONSEQUENCES: Resigned as Barclays CEO (Nov 2021) after FCA investigation into his Epstein relationship. Lifetime ban from UK financial services industry imposed by FCA (Oct 2023), upheld by Upper Tribunal (June 2025). Fined £1.1M (reduced from £1.8M). Lost deferred share compensation from Barclays. Admitted to sexual encounter with member of Epstein's staff. Described Epstein as one of his 'deepest' and 'most cherished' friends. Referred to Epstein's island as 'St Jeff.' Ongoing investor lawsuit against Barclays and Staley in US courts. Despite losing his Barclays career, Staley accumulated substantial wealth during decades as a senior JPMorgan and Barclays executive. He owns a yacht named 'Bequia' and retains significant personal assets. The FCA ban applies only to UK financial services — it does not prevent him from working in other industries or jurisdictions. His net worth remains estimated in the hundreds of millions.</t>
  </si>
  <si>
    <t>• No current consumer-facing roles identified
• Previously: bank with Barclays (he resigned in 2021)</t>
  </si>
  <si>
    <t>VERY DIFFICULT — resigned from all known public roles; institutional finance career with no consumer products.</t>
  </si>
  <si>
    <t>Jes</t>
  </si>
  <si>
    <t>Staley</t>
  </si>
  <si>
    <t>Ken Starr</t>
  </si>
  <si>
    <t>Professional/Legal – Secured 2008 plea deal; affectionate correspondence ("hugs", "love")</t>
  </si>
  <si>
    <t>Part of Epstein's legal defense team. Continued involvement with Epstein's legal matters after 2008 conviction, working to negotiate favorable terms.</t>
  </si>
  <si>
    <t>Deceased (Sept 2022). Former independent counsel and Baylor University president. Had represented Epstein in legal matters, helping negotiate the controversial 2008 plea deal in Florida. Was fired as Baylor president in 2016 over a separate sexual assault scandal involving the university's football program. His role in Epstein's lenient plea deal drew significant posthumous criticism.</t>
  </si>
  <si>
    <t>• Buy his books ("Contempt: A Memoir of the Clinton Investigation," etc.)</t>
  </si>
  <si>
    <t>NOT APPLICABLE — deceased (2022). Book sales benefit his estate. No consumer-facing businesses during his lifetime beyond publishing.</t>
  </si>
  <si>
    <t>Ken</t>
  </si>
  <si>
    <t>Starr</t>
  </si>
  <si>
    <t>David Stern</t>
  </si>
  <si>
    <t>Peripheral – Allegedly passed on Prince Andrew email to Epstein</t>
  </si>
  <si>
    <t>Limited evidence in released files of post-2008 contact. Stern died in 2020.</t>
  </si>
  <si>
    <t>Deceased (Jan 2020). Former NBA Commissioner. Name appeared in Epstein's contacts. No allegations of wrongdoing during his lifetime.</t>
  </si>
  <si>
    <t>• No current consumer routes — deceased (2020)
• Historically: watch/attend NBA games (he grew the league into a global brand during his tenure, but revenue went to the NBA, not him personally)</t>
  </si>
  <si>
    <t>NOT APPLICABLE — deceased (2020). The NBA he built generates massive consumer spending, but it never flowed to him personally as a consumer product.</t>
  </si>
  <si>
    <t>Stern</t>
  </si>
  <si>
    <t>Sultan Ahmed bin Sulayem</t>
  </si>
  <si>
    <t>Business/Social – Business dealings; personal exchanges; facilitated introductions and transfers</t>
  </si>
  <si>
    <t>Epstein referred to him as one of his 'most trusted friends.' In 2019 email, Epstein wrote 'I loved the torture video' to bin Sulayem. Name was initially redacted in files. Resigned as DP World CEO Feb 13, 2026.</t>
  </si>
  <si>
    <t xml:space="preserve">Resigned as Group Chairman and CEO of DP World on February 13, 2026, after the Epstein files revealed he was one of Epstein's closest associates. Epstein referred to bin Sulayem as one of his "most trusted friends." A 2019 email showed Epstein writing "I loved the torture video" to bin Sulayem. His name had initially been redacted in the released files. DP World is one of the world's largest port operators, handling approximately 10% of global container trade, making this one of the most commercially significant resignations triggered by the Epstein files. Despite losing his DP World role, bin Sulayem retains significant personal wealth accumulated over decades as one of Dubai's most prominent business figures, including his role founding Nakheel (developer of the Palm Islands) and the Dubai Multi Commodities Centre.
</t>
  </si>
  <si>
    <t>• Ship goods through DP World ports (~10% of global container trade — invisible to consumers but embedded in supply chains)
• Visit The Palm Jumeirah in Dubai (built by Nakheel, which he founded)
• Trade through Dubai Multi Commodities Centre</t>
  </si>
  <si>
    <t>⚠️ SUBTLE — VERY INDIRECT — DP World handles shipping containers for goods consumers buy worldwide, but it's completely invisible. Tourism to Palm Jumeirah resorts is the most tangible route.</t>
  </si>
  <si>
    <t>Sultan Ahmed bin</t>
  </si>
  <si>
    <t>Sulayem</t>
  </si>
  <si>
    <t>Larry Summers</t>
  </si>
  <si>
    <t>Personal/Academic – Discussed romantic pursuits; correspondence continued until days before arrest; estate executor</t>
  </si>
  <si>
    <t>Extensive post-2008 contact. 'Corresponded routinely' with Epstein per NYT. Named executor in early version of Epstein's will. Crude emails about women's IQ. Gossiped about Trump. Photographed on private plane. Banned from AEA, resigned from OpenAI, took leave from Harvard.</t>
  </si>
  <si>
    <t>Multiple formal consequences as of early 2026. Banned from the American Economic Association (AEA). Resigned from the OpenAI board. Took leave from Harvard. These represent meaningful professional repercussions within the academic and economics communities. However, Summers retains his tenured Harvard professorship (Charles W. Eliot University Professor), his substantial wealth from careers in government, academia, and the private sector (including D.E. Shaw hedge fund), and his prominence as an economic commentator. His broader influence in economic policy circles has been dented but not destroyed.</t>
  </si>
  <si>
    <t>• Use Square/Block payment processing (Cash App, Square POS — he was on the board since 2011)
• Use Cash App for payments/banking
• Buy his books and paid speaking engagements
• Enroll at Harvard (tuition supports his professorship)</t>
  </si>
  <si>
    <t>MODERATE — Cash App and Square payment terminals are mainstream consumer products; he served on Block's board. Advisory fees from Goldman/Citi are funded indirectly by those banks' consumer customers.</t>
  </si>
  <si>
    <t>Larry</t>
  </si>
  <si>
    <t>Summers</t>
  </si>
  <si>
    <t>David Tang</t>
  </si>
  <si>
    <t>Business – Worked with Epstein and Maxwell on a startup (ICorrect)</t>
  </si>
  <si>
    <t>Hong Kong businessman (died 2017). Appears in Epstein's social circle but specific post-2008 evidence from released files is limited.</t>
  </si>
  <si>
    <t>Deceased (Aug 2017). Hong Kong businessman and socialite. Died before Epstein's 2019 arrest. No consequences during lifetime.</t>
  </si>
  <si>
    <t>• No current consumer routes — deceased (2017)
• Historically: shop at Shanghai Tang (now owned by Richemont — he no longer benefits)
• Dine at China Tang at The Dorchester (may still operate under his estate/brand)
• Stay at iClub Hotels in Hong Kong</t>
  </si>
  <si>
    <t>MOSTLY NOT APPLICABLE — deceased (2017). Some businesses may continue under his estate, particularly China Tang restaurant.</t>
  </si>
  <si>
    <t>Tang</t>
  </si>
  <si>
    <t>Corina Tarnita</t>
  </si>
  <si>
    <t>Academic/Financial – Met as Harvard grad student; helped wire transfers to unnamed individuals</t>
  </si>
  <si>
    <t>Princeton evolutionary biologist. Connected to Epstein through Nowak's program. Specific post-2008 evidence from released files is limited.</t>
  </si>
  <si>
    <t>No known consequences. Romanian-American mathematical biologist and Princeton professor. Name appeared in Epstein's contact lists, likely through academic/scientific networking. No allegations of wrongdoing.</t>
  </si>
  <si>
    <t>• Enroll at Princeton (tuition indirectly supports her salary)
• Read her academic publications</t>
  </si>
  <si>
    <t>VERY DIFFICULT — pure academic with no consumer-facing businesses, books, or nonprofits.</t>
  </si>
  <si>
    <t>Corina</t>
  </si>
  <si>
    <t>Tarnita</t>
  </si>
  <si>
    <t>Peter Thiel</t>
  </si>
  <si>
    <t>Business/Financial – Investment firm accepted $40M from Epstein; 5+ years of correspondence</t>
  </si>
  <si>
    <t>Email exchange with Epstein about Brexit being 'just the beginning.' Epstein referenced introducing people to Rowan through Thiel contacts. Some documented post-2008 correspondence.</t>
  </si>
  <si>
    <t>No known consequences. Billionaire tech investor and PayPal co-founder. Name appeared in Epstein files and was mentioned in Epstein's scheduling documents. No allegations of personal wrongdoing. Continues as one of the most influential figures in tech and conservative politics. Thiel's net worth is estimated at $11B+. His political influence has arguably grown since the Epstein revelations, having backed JD Vance's successful VP candidacy. No financial or professional impact whatsoever.</t>
  </si>
  <si>
    <t>• Use Facebook/Meta products (Facebook, Instagram, WhatsApp — he was the first outside investor and long-time board member)
• Use PayPal (co-founded; he exited long ago but royalties/equity from early days)
• Indirectly: use Palantir-powered services (government/enterprise — invisible to consumers)
• Products from Founders Fund portfolio companies (Spotify was a Founders Fund investment, Airbnb, SpaceX, Stripe)</t>
  </si>
  <si>
    <t>⚠️ SUBTLE — INDIRECT but PERVASIVE — Thiel's early Facebook investment means billions of users generated returns for him. Founders Fund portfolio includes Spotify, Airbnb, and Stripe — all mainstream consumer platforms.</t>
  </si>
  <si>
    <t>Thiel</t>
  </si>
  <si>
    <t>Amanda Thirsk</t>
  </si>
  <si>
    <t>Professional – Arranged meetings between Prince Andrew and Epstein</t>
  </si>
  <si>
    <t>Private secretary to Prince Andrew. Facilitated continued contact between Andrew and Epstein after 2008. Left her role in 2019 amid the Epstein scandal.</t>
  </si>
  <si>
    <t>CONSEQUENCES: Private secretary to Prince Andrew who was let go from the royal household in Nov 2019 after Andrew's disastrous BBC Newsnight interview about Epstein. Had reportedly encouraged Andrew to do the interview. Lost her position in the royal household.</t>
  </si>
  <si>
    <t>• No current consumer-facing businesses or active nonprofits identified
• Previously: engage with Pitch@Palace (renamed Entrepreneurs Network after Andrew's withdrawal)</t>
  </si>
  <si>
    <t>VERY DIFFICULT — her roles were tied to Prince Andrew's office, which has been wound down.</t>
  </si>
  <si>
    <t>Amanda</t>
  </si>
  <si>
    <t>Thirsk</t>
  </si>
  <si>
    <t>Jess Ting</t>
  </si>
  <si>
    <t>Professional/Medical – Hundreds of emails; visits to homes and island; coordinated medical care for "female associates"</t>
  </si>
  <si>
    <t>Appears extensively in Epstein files with post-2008 correspondence and meetings documented.</t>
  </si>
  <si>
    <t>No known consequences. Name appeared in Epstein documents. No allegations of wrongdoing or professional repercussions reported.</t>
  </si>
  <si>
    <t>• Be a patient at Mount Sinai for gender-affirming surgery
• Donate to Mount Sinai Center for Transgender Medicine and Surgery</t>
  </si>
  <si>
    <t>DIFFICULT — specialized surgical practice; consumer route is limited to patients seeking gender-affirming care at Mount Sinai.</t>
  </si>
  <si>
    <t>Jess</t>
  </si>
  <si>
    <t>Ting</t>
  </si>
  <si>
    <t>Steve Tisch</t>
  </si>
  <si>
    <t>Social – 2013 emails discussing women's physical features; regrets associating</t>
  </si>
  <si>
    <t>NY Giants co-owner. 2013 email exchange with Epstein discussing women, including asking about a 'Ukrainian Girl.' Epstein called her 'a 10 ass.' Invited to Epstein's island. Said he 'deeply regrets associating.'</t>
  </si>
  <si>
    <t>No formal consequences. New York Giants co-owner. Epstein files revealed Epstein sent Tisch 'reports on multiple women.' Tisch released statement saying they had a 'brief association' exchanging 'emails about adult women' and that he never visited Epstein's island. Tisch retains his ownership stake in the New York Giants (estimated franchise value $7B+) and his personal net worth of approximately $1.6B. No pressure on him to divest or step down from any position.</t>
  </si>
  <si>
    <t>• Buy New York Giants tickets, merchandise, and TV packages
• Watch his produced films ("Forrest Gump," "American History X," "Snatch" — streaming royalties)
• Indirectly: Tisch family controls Loews Corporation (CNA Financial insurance, Boardwalk Pipeline)
• Buy CNA insurance products (through the broader Tisch family holdings)</t>
  </si>
  <si>
    <t>EASY — the New York Giants are one of the NFL's most valuable franchises; his films are streaming classics. The Tisch family's Loews empire adds indirect consumer routes through insurance.</t>
  </si>
  <si>
    <t>Tisch</t>
  </si>
  <si>
    <t>Jean Todt</t>
  </si>
  <si>
    <t>Social – Single visit to Epstein's home in 2017; introduced by Rød-Larsen</t>
  </si>
  <si>
    <t>Former FIA president. Introduced to Epstein by Rød-Larsen. Limited post-2008 evidence in files of independent contact.</t>
  </si>
  <si>
    <t>No known consequences. Former FIA president and Ferrari F1 team principal. Name appeared in Epstein contacts. No allegations of wrongdoing or professional repercussions.</t>
  </si>
  <si>
    <t>• Buy a Ferrari (he was CEO 2004–2008 and built the modern brand — no longer benefits directly)
• Donate to ICM Brain Institute in Paris (he's founding VP)
• Support the Suu Foundation (he is president)
• Watch Formula 1 (he shaped the sport as FIA president — indirect)</t>
  </si>
  <si>
    <t>DIFFICULT — he no longer holds executive roles at Ferrari or FIA. ICM Brain Institute donations and the Suu Foundation are the main current routes.</t>
  </si>
  <si>
    <t>Todt</t>
  </si>
  <si>
    <t>Mark Tramo</t>
  </si>
  <si>
    <t>Academic/Financial – Corresponded until Epstein's death; received charitable funding; forwarded student emails</t>
  </si>
  <si>
    <t>Neuroscientist. Appears in files with post-2008 correspondence related to scientific discussions and Epstein-funded research.</t>
  </si>
  <si>
    <t>UCLA removed Tramo's profile from the university's list of experts for media following the Epstein file release in late January 2026. A petition calling for his removal from UCLA garnered over 6,000 signatures as of mid-February 2026. UCLA officials have not publicly commented on his status or his relationship with Epstein. Tramo is an associate adjunct professor of neurology at UCLA. No formal disciplinary action has been publicly announced.</t>
  </si>
  <si>
    <t>• Be a patient in his neurology practice
• Enroll at UC Irvine (tuition indirectly supports his salary)</t>
  </si>
  <si>
    <t>Tramo</t>
  </si>
  <si>
    <t>Robert Trivers</t>
  </si>
  <si>
    <t>Academic/Financial – Received ~$40K for research; defended Epstein's conduct publicly</t>
  </si>
  <si>
    <t>Evolutionary biologist. Received Epstein funding. Continued association after 2008. Known patron of Epstein-funded science.</t>
  </si>
  <si>
    <t>No known consequences. Evolutionary biologist who received research funding from Epstein. Trivers has publicly acknowledged the relationship and expressed complex views about Epstein. No formal professional repercussions.</t>
  </si>
  <si>
    <t>• Buy his books ("The Folly of Fools," "Social Evolution," etc.)
• Enroll at Rutgers (tuition supports his salary)</t>
  </si>
  <si>
    <t>DIFFICULT — academic with niche scholarly books. No consumer-facing ventures.</t>
  </si>
  <si>
    <t>Trivers</t>
  </si>
  <si>
    <t>Donald Trump</t>
  </si>
  <si>
    <t>Social/Political – 38,000+ references in files but no direct communication found; FBI compiled unsubstantiated tips</t>
  </si>
  <si>
    <t>Trump says they had falling-out ~2004. Hundreds of references in files but mostly tangential (media bulletins etc). Files contain early police cooperation claim. 38,000+ references but many not direct contact.</t>
  </si>
  <si>
    <t>No formal legal consequences related to Epstein specifically. As President, Trump signed the Epstein Files Transparency Act (Nov 2025) after bipartisan congressional pressure. Epstein files show prior social relationship including photos together and an allegation that Epstein brought a 14-year-old girl to Mar-a-Lago. Trump has claimed he cut ties with Epstein years before his arrest. Faces ongoing political pressure over perceived slow-walking of file releases. Trump is the sitting President of the United States with enormous political power. His administration controls the DOJ responsible for releasing the files. No financial or professional consequences whatsoever from the Epstein association.</t>
  </si>
  <si>
    <t>• Stay at Trump Hotels (Washington DC, Chicago, Las Vegas, Doral, etc.)
• Play at Trump golf courses (18+ courses worldwide)
• Use Truth Social (free app, ad-supported; or buy TMTG/DJT stock)
• Buy Trump-branded merchandise (hats, NFTs, sneakers, Bibles, watches, cologne)
• Buy his books ("The Art of the Deal," etc.)
• Buy Trump-branded wines, steaks (limited current availability)</t>
  </si>
  <si>
    <t>VERY EASY — Trump Hotels, golf courses, Truth Social, and an extensive merchandise operation provide many direct consumer routes. His brand licensing is among the most consumer-facing of any political figure.</t>
  </si>
  <si>
    <t>Donald</t>
  </si>
  <si>
    <t>Trump</t>
  </si>
  <si>
    <t>Eric Trump</t>
  </si>
  <si>
    <t>Social – Mentioned in one email (Christmas 2016 in Palm Beach)</t>
  </si>
  <si>
    <t>Limited direct evidence in released files of personal post-2008 contact with Epstein.</t>
  </si>
  <si>
    <t>No known personal consequences. Name appeared peripherally in Epstein files through family connection to Donald Trump. No personal allegations.</t>
  </si>
  <si>
    <t>• Stay at Trump Hotels / play Trump golf courses (he co-manages the Trump Organization)
• Buy Trump Winery wines (Charlottesville, Virginia — available for purchase/tasting)
• Visit Trump Winery for tastings and events
• Previously: donate to Eric Trump Foundation / St. Jude (restructured)</t>
  </si>
  <si>
    <t>EASY — Trump Winery is a direct consumer product he personally runs, plus all Trump Organization properties.</t>
  </si>
  <si>
    <t>Eric</t>
  </si>
  <si>
    <t>Melania Trump</t>
  </si>
  <si>
    <t>Social – 2002 email to "G" congratulating on Epstein magazine profile</t>
  </si>
  <si>
    <t>Appears in files mostly through references to Donald Trump. No independent post-2008 relationship with Epstein established.</t>
  </si>
  <si>
    <t>No known consequences. First Lady of the United States. Her documentary 'Melania' was directed by Brett Ratner, who appeared in Epstein files. No personal allegations of Epstein connection.</t>
  </si>
  <si>
    <t>• Buy her memoir "Melania" (published 2024 — bestseller)
• Buy Melania-branded jewelry and fashion items
• Purchase merchandise from Head of State LLC
• Buy her $245 Melania Trump Christmas ornaments and other branded collectibles
• Buy her Solana-based cryptocurrency/NFTs</t>
  </si>
  <si>
    <t>EASY — she has actively built a direct-to-consumer merchandise and branding operation including books, jewelry, ornaments, and crypto/NFT products.</t>
  </si>
  <si>
    <t>Melania</t>
  </si>
  <si>
    <t>Donald Trump Jr.</t>
  </si>
  <si>
    <t>No known personal consequences. Name appeared peripherally in Epstein files through family connection. No personal allegations.</t>
  </si>
  <si>
    <t>• Stay at Trump Hotels / play Trump golf courses (he co-manages the Trump Organization)
• Shop on PublicSquare (conservative marketplace app — he's on the board)
• Buy firearms from GrabAGun.com (he's on the board)
• Use Truth Social (TMTG board member)
• Buy his books ("Triggered," "Liberal Privilege")
• Listen to his podcast and buy merchandise</t>
  </si>
  <si>
    <t>EASY — Trump Organization properties plus board seats at consumer-facing conservative brands (PublicSquare, GrabAGun) provide multiple routes.</t>
  </si>
  <si>
    <t>Trump Jr.</t>
  </si>
  <si>
    <t>Paul Tweed</t>
  </si>
  <si>
    <t>Professional/Legal – Worked with Epstein on UK media strategy</t>
  </si>
  <si>
    <t>Libel lawyer. Appears in files but specific post-2008 evidence requires further analysis.</t>
  </si>
  <si>
    <t>No known consequences. Prominent libel lawyer. Name appeared in Epstein files. No allegations of wrongdoing or professional repercussions.</t>
  </si>
  <si>
    <t>• Hire him for media/defamation legal services (he has represented major celebrities and politicians)</t>
  </si>
  <si>
    <t>VERY DIFFICULT — B2B/high-profile legal practice; no consumer products or nonprofits.</t>
  </si>
  <si>
    <t>Paul</t>
  </si>
  <si>
    <t>Tweed</t>
  </si>
  <si>
    <t>Brian Vickers</t>
  </si>
  <si>
    <t>Personal/Business – Correspondence since 2012; ex-wife Sarah Kellen named as co-conspirator; sent explicit content</t>
  </si>
  <si>
    <t>No known consequences. Name appeared in Epstein documents. No formal repercussions reported.</t>
  </si>
  <si>
    <t>• Buy Red Bull energy drinks (very indirect — he was a former driver, not an owner)
• Buy his racing merchandise (if available)</t>
  </si>
  <si>
    <t>VERY DIFFICULT — retired racing driver with no ownership stakes or consumer businesses. Red Bull is not his company.</t>
  </si>
  <si>
    <t>Brian</t>
  </si>
  <si>
    <t>Vickers</t>
  </si>
  <si>
    <t>Karim Wade</t>
  </si>
  <si>
    <t>Political/Financial – Epstein assisted with legal and lobbying fees for corruption case</t>
  </si>
  <si>
    <t>Senegalese politician. Appears in files but specific post-2008 evidence is limited.</t>
  </si>
  <si>
    <t>No known consequences related to Epstein. Son of former Senegalese President Abdoulaye Wade. Was convicted of corruption in Senegal in 2015 (separate from Epstein). Name appeared in Epstein contacts.</t>
  </si>
  <si>
    <t>• Donate to his political campaign (PDS party, Senegal)</t>
  </si>
  <si>
    <t>VERY DIFFICULT — Senegalese politician with no commercial ventures accessible to international consumers.</t>
  </si>
  <si>
    <t>Karim</t>
  </si>
  <si>
    <t>Wade</t>
  </si>
  <si>
    <t>Michael Waltrip</t>
  </si>
  <si>
    <t>Business – Aware of sponsorship discussions related to Epstein/Vickers allegations</t>
  </si>
  <si>
    <t>No known consequences. NASCAR driver whose name appeared in Epstein documents. No allegations of wrongdoing.</t>
  </si>
  <si>
    <t>• Watch NASCAR on Fox Sports (his broadcasting generates ad revenue)
• Follow Waltrip Unfiltered content (media/entertainment brand)
• Buy his books ("In the Blink of an Eye")
• Buy his merchandise</t>
  </si>
  <si>
    <t>MODERATE — NASCAR broadcasting on Fox Sports is mainstream; his media brand and merchandise are accessible to racing fans.</t>
  </si>
  <si>
    <t>Michael</t>
  </si>
  <si>
    <t>Waltrip</t>
  </si>
  <si>
    <t>Casey Wasserman</t>
  </si>
  <si>
    <t>Social – Flew on Epstein's jet (2002); personal emails with Maxwell including massage offer</t>
  </si>
  <si>
    <t>Epstein ties disclosed in files. Correspondence revealed. Said he would sell his talent agency after ties disclosed. LA28 Olympic committee chair.</t>
  </si>
  <si>
    <t>No formal consequences despite name appearing in Jan 2026 Epstein DOJ file release. Continues as chairman of LA 2028 Olympics organizing committee. Wasserman is a sports and entertainment mogul. No allegations of personal wrongdoing. Wasserman remains chairman of the LA 2028 Olympics with an estimated net worth of $800M+. His grandfather was legendary Hollywood agent Lew Wasserman. No professional or financial consequences.</t>
  </si>
  <si>
    <t>• Indirectly: athletes and entertainers managed by Wasserman agency earn commissions when you buy tickets, merchandise, or endorsed products
• Attend the 2028 Los Angeles Olympics (he's organizing committee chairman)
• Donate to the Wasserman Foundation
• Donate to the Clinton Foundation (he's a trustee)</t>
  </si>
  <si>
    <t>INDIRECT — Wasserman is the world's largest sports/entertainment agency, so buying concert tickets or sports merchandise for their clients generates agency fees. The 2028 LA Olympics will be his most visible consumer-facing role.</t>
  </si>
  <si>
    <t>Casey</t>
  </si>
  <si>
    <t>Wasserman</t>
  </si>
  <si>
    <t>Harvey Weinstein</t>
  </si>
  <si>
    <t>Alleged Criminal – Named in FBI crisis intake form; victim allegation of shared abuse</t>
  </si>
  <si>
    <t>Referenced in files but limited direct post-2008 contact with Epstein established in released documents.</t>
  </si>
  <si>
    <t>MOST SEVERE CONSEQUENCES (primarily from separate sexual abuse prosecution, with Epstein connection as additional factor): Convicted of sexual assault in NY (2020, overturned 2024, reconvicted June 2025 on one count). Convicted of rape in LA (2022, 16-year sentence). Fired from The Weinstein Company (2017), which went bankrupt. Expelled from Academy of Motion Picture Arts and Sciences. Currently incarcerated at Rikers Island. Third NY trial on remaining rape charge expected. Over 100 women have accused him of sexual misconduct. Weinstein's wealth has been largely depleted by legal costs, settlements, and bankruptcy of TWC. He is currently incarcerated and in poor health (bone cancer, heart surgery). Unlike most others on this list, the consequences have been genuinely devastating and comprehensive — loss of freedom, wealth, reputation, and health.</t>
  </si>
  <si>
    <t>• Stream Miramax or TWC films ("Pulp Fiction," "Good Will Hunting," "Shakespeare in Love," "Gangs of New York" — rights now owned by other entities)</t>
  </si>
  <si>
    <t>NOT APPLICABLE — incarcerated; all companies sold or bankrupt. Streaming his former films benefits current rights holders (Disney/Paramount for Miramax, Lantern/Spyglass for TWC), not him.</t>
  </si>
  <si>
    <t>Harvey</t>
  </si>
  <si>
    <t>Weinstein</t>
  </si>
  <si>
    <t>Les Wexner</t>
  </si>
  <si>
    <t>Business/Personal – 15+ year relationship; $1B suspicious activity report; referenced shared secrets</t>
  </si>
  <si>
    <t>Says he severed ties with Epstein in 2007 (before 2008 conviction). Gave Epstein power of attorney; later said Epstein stole from him. Epstein repaid $100M. FBI listed Wexner as co-conspirator on internal diagram. Name was initially redacted in files.</t>
  </si>
  <si>
    <t>SIGNIFICANT AND ESCALATING CONSEQUENCES: Resigned as CEO of L Brands (Feb 2020). Did not stand for re-election to board. L Brands paid $90M settlement for derivative lawsuits alleging culture of misogyny and failure to investigate Epstein ties. Named by FBI as one of Epstein's 'co-conspirators' in 2019 internal documents. Named by Congressman Ro Khanna (Feb 10, 2026) on House floor as one of six men whose names were redacted from public Epstein files. Subpoenaed by House Oversight Committee for deposition (scheduled Feb 18, 2026). Epstein had power of attorney over Wexner's affairs from 1991 and was accused of misappropriating $46M+ from Wexner. Despite all consequences, Wexner remains the richest person in Ohio with an estimated net worth of $6B. His wealth derives from substantial real estate holdings (including a $47M estate in New Albany, OH), retained stakes from L Brands/Bath &amp; Body Works spinoff, and decades of accumulated assets. The 'resignation' from L Brands was more of a planned succession than a forced exit. He retains enormous local philanthropic influence through the Wexner Foundation and Wexner Medical Center at Ohio State. The congressional deposition may change this calculus.</t>
  </si>
  <si>
    <t>• Shop at Bath &amp; Body Works (he founded L Brands; stepped down as CEO 2020 but remains Chairman Emeritus and significant shareholder)
• Previously: shop at Victoria's Secret, Pink (spun off as separate company in 2021)
• Previously: shop at Abercrombie &amp; Fitch, Express, Lane Bryant, The Limited (all spun off/sold years ago)
• Donate to the Wexner Foundation
• Visit the Wexner Center for the Arts at Ohio State</t>
  </si>
  <si>
    <t>EASY — Bath &amp; Body Works is in virtually every American mall and shopping center. He built an empire of retail brands that most American consumers have shopped at. Even after spin-offs, Bath &amp; Body Works alone has 1,800+ stores.</t>
  </si>
  <si>
    <t>Les</t>
  </si>
  <si>
    <t>Wexner</t>
  </si>
  <si>
    <t>Nathan Wolfe</t>
  </si>
  <si>
    <t>Academic/Social – ~600 mentions in files; corresponded 2008–2013; emails about "hottie interns" and female sex drive</t>
  </si>
  <si>
    <t>Stanford virologist. In 2013, proposed Epstein fund a sexual-behaviour study of undergraduate students to test 'our horny virus hypothesis.' Active post-2008 scientific funding relationship.</t>
  </si>
  <si>
    <t>No known consequences. Virologist and founder of Global Viral. Received funding from Epstein for pandemic research. Was on the scientific advisory board of EcoHealth Alliance. No formal professional repercussions from the Epstein connection specifically.</t>
  </si>
  <si>
    <t>• Donate to Labyrinth Global Health (formerly Global Viral — infectious disease research nonprofit)
• Previously: companies could purchase Metabiota pandemic risk analytics</t>
  </si>
  <si>
    <t>DIFFICULT — Metabiota was enterprise/government-focused; Labyrinth Global Health accepts donations but is niche. No mainstream consumer products.</t>
  </si>
  <si>
    <t>Nathan</t>
  </si>
  <si>
    <t>Wolfe</t>
  </si>
  <si>
    <t>Michael Wolff</t>
  </si>
  <si>
    <t>Professional/Media – Extended correspondence; Epstein was source for Fire and Fury; offered strategic media advice</t>
  </si>
  <si>
    <t>Journalist/author. Appears in files but specific post-2008 contact evidence is limited.</t>
  </si>
  <si>
    <t>No known consequences. Journalist and author of 'Fire and Fury' and other Trump books. Name appeared in Epstein contacts. No allegations of wrongdoing.</t>
  </si>
  <si>
    <t>• Buy his bestselling books ("Fire and Fury" was a massive #1 bestseller; "Siege," "Landslide," "All or Nothing")
• Visit Newser.com (news aggregation — ad-supported)</t>
  </si>
  <si>
    <t>EASY — "Fire and Fury" was one of the bestselling political books of the decade. His Trump-era books are widely available and consistently generate major sales.</t>
  </si>
  <si>
    <t>Wolff</t>
  </si>
  <si>
    <t>Mark Zuckerberg</t>
  </si>
  <si>
    <t>Social – Photo at dinner table; Epstein claimed dinner with Zuckerberg, Musk, Thiel, Hoffman</t>
  </si>
  <si>
    <t>Limited evidence in released files of direct post-2008 contact with Epstein.</t>
  </si>
  <si>
    <t>No known consequences. Meta/Facebook CEO. Name appeared in Epstein files peripherally (attended same events). No allegations of personal wrongdoing. Reid Hoffman, who facilitated some Epstein social events, was a Facebook board member. Zuckerberg is one of the world's wealthiest people (net worth $200B+). His company Meta donated $1M to Trump's 2025 inauguration fund. Zero professional or financial consequences.</t>
  </si>
  <si>
    <t>• Use Facebook (free, ad-supported — 3 billion monthly users)
• Use Instagram (free, ad-supported — 2 billion monthly users)
• Use WhatsApp (free messaging — 2 billion users)
• Use Threads (social media)
• Buy a Meta Quest VR headset ($300-500)
• Subscribe to Meta Verified ($12-15/month)
• Click on Meta ads (the core revenue engine across Facebook/Instagram)
• Use Meta AI assistant
• Donate to the Chan Zuckerberg Initiative</t>
  </si>
  <si>
    <t>⚠️ SUBTLE — EXTREMELY EASY — Meta's apps are used by roughly half the world's population daily. Facebook, Instagram, and WhatsApp are among the most-used apps on Earth. Virtually inescapable for most internet users.</t>
  </si>
  <si>
    <t>Zuckerberg</t>
  </si>
  <si>
    <t>Jacob Zuma</t>
  </si>
  <si>
    <t>Political/Social – Dinner arranged at Ritz London in 2010 with "beautiful Russian model"</t>
  </si>
  <si>
    <t>Former South African president. Limited evidence in released files of post-2008 contact.</t>
  </si>
  <si>
    <t>No consequences related to Epstein. Former South African President faces separate, extensive legal troubles including corruption charges, imprisonment (2021), and ongoing trials, all unrelated to Epstein.</t>
  </si>
  <si>
    <t>• Donate to the Jacob Zuma RDP Educational Trust Fund (has educated 20,000+ children)
• Support the MK Party (his new political party)</t>
  </si>
  <si>
    <t>DIFFICULT — retired/ousted politician with no commercial ventures. The educational trust is the most accessible route, primarily for South African donors.</t>
  </si>
  <si>
    <t>Jacob</t>
  </si>
  <si>
    <t>Zuma</t>
  </si>
  <si>
    <t>Jay-Z (Shawn Carter)</t>
  </si>
  <si>
    <t>Allegation – named in FBI crisis intake form by anonymous victim who alleged waking in a room with him and Harvey Weinstein</t>
  </si>
  <si>
    <t>No formal consequences. Rapper and mogul (Shawn Carter) was named in a 2024 lawsuit alleging he and Sean 'Diddy' Combs sexually assaulted a 13-year-old in 2000; Jay-Z vehemently denied the allegations and the accuser's credibility was questioned, leading to the lawsuit being dropped in early 2025. His name appeared in Epstein's contact lists. No Epstein-specific allegations of wrongdoing. Jay-Z retains his estimated $2.5B net worth and his business empire (Roc Nation, LVMH partnership, etc.) is unaffected. The dropped lawsuit had no lasting impact.</t>
  </si>
  <si>
    <t>• Stream his music (Roc Nation catalog on all platforms)
• Buy Armand de Brignac (Ace of Spades) champagne
• Drink D'USSÉ cognac (his brand partnership with Bacardi)
• Subscribe to TIDAL (music streaming service he co-owns)
• Attend concerts/tours
• Buy Rocawear apparel
• Use his entertainment: Roc Nation artists, Made in America festival</t>
  </si>
  <si>
    <t>EXTREMELY EASY — Jay-Z has consumer brands across music, spirits, fashion, and streaming. His champagne and cognac sit on liquor store shelves everywhere.</t>
  </si>
  <si>
    <t>Jay-Z</t>
  </si>
  <si>
    <t>Organization</t>
  </si>
  <si>
    <t>Role/Description</t>
  </si>
  <si>
    <t>Concatenated</t>
  </si>
  <si>
    <t>Gravier Productions</t>
  </si>
  <si>
    <t>His personal production company used to produce his films</t>
  </si>
  <si>
    <t>Previous production/distribution partnerships with Sweetland Films, TriStar Pictures, Orion Pictures, United Artists, and Amazon Studios</t>
  </si>
  <si>
    <t>Reliance Group</t>
  </si>
  <si>
    <t>(ADA Group) — Founder and Chairman</t>
  </si>
  <si>
    <t>Reliance Communications</t>
  </si>
  <si>
    <t>Chairman</t>
  </si>
  <si>
    <t>Reliance Capital</t>
  </si>
  <si>
    <t>Reliance Infrastructure</t>
  </si>
  <si>
    <t>Reliance Power</t>
  </si>
  <si>
    <t>Reliance Defence and Engineering Limited</t>
  </si>
  <si>
    <t>Reliance Defence Limited</t>
  </si>
  <si>
    <t>Reliance Defence Technologies Private Limited</t>
  </si>
  <si>
    <t>Reliance Naval &amp; Engineering Ltd</t>
  </si>
  <si>
    <t>Dubin Breast Center</t>
  </si>
  <si>
    <t>(Tisch Cancer Institute, Mount Sinai) — Founder</t>
  </si>
  <si>
    <t>Mount Sinai Medical Center</t>
  </si>
  <si>
    <t>Board of Directors (since 2014)</t>
  </si>
  <si>
    <t>Breast Cancer Alliance</t>
  </si>
  <si>
    <t>Medical Advisory Board</t>
  </si>
  <si>
    <t>Michael J. Fox Foundation</t>
  </si>
  <si>
    <t>Former Board</t>
  </si>
  <si>
    <t>Alliance for Lupus Research</t>
  </si>
  <si>
    <t>Friends of the Karolinska</t>
  </si>
  <si>
    <t>Board</t>
  </si>
  <si>
    <t>Trinity School of New York</t>
  </si>
  <si>
    <t>Dubin Family Foundation</t>
  </si>
  <si>
    <t>Co-leader</t>
  </si>
  <si>
    <t>Center for Advanced Hindsight</t>
  </si>
  <si>
    <t>(Duke University) — Founder</t>
  </si>
  <si>
    <t>BEworks</t>
  </si>
  <si>
    <t>Co-founder (acquired by Kyu, 2017)</t>
  </si>
  <si>
    <t>Timeful</t>
  </si>
  <si>
    <t>Co-founder (acquired by Google, 2015)</t>
  </si>
  <si>
    <t>Irrational Labs</t>
  </si>
  <si>
    <t>Co-founder</t>
  </si>
  <si>
    <t>Genie</t>
  </si>
  <si>
    <t>(kitchen appliance company) — Co-founder</t>
  </si>
  <si>
    <t>Shapa Health</t>
  </si>
  <si>
    <t>Irrational Capital</t>
  </si>
  <si>
    <t>Co-founder and Partner</t>
  </si>
  <si>
    <t>Kayma Labs</t>
  </si>
  <si>
    <t>Epilog</t>
  </si>
  <si>
    <t>Co-founder and Chief Behavioral Officer</t>
  </si>
  <si>
    <t>Lemonade Inc.</t>
  </si>
  <si>
    <t>Chief Behavioral Officer</t>
  </si>
  <si>
    <t>Qapital</t>
  </si>
  <si>
    <t>Former Chairman of the Board</t>
  </si>
  <si>
    <t>Communitas Capital Partners</t>
  </si>
  <si>
    <t>Advisory Board</t>
  </si>
  <si>
    <t>Early Medical</t>
  </si>
  <si>
    <t>Founder</t>
  </si>
  <si>
    <t>10 Squared</t>
  </si>
  <si>
    <t>The Peter Attia Drive</t>
  </si>
  <si>
    <t>(podcast) — Host/Creator</t>
  </si>
  <si>
    <t>CBS News</t>
  </si>
  <si>
    <t>Contributor</t>
  </si>
  <si>
    <t>Government of Spain</t>
  </si>
  <si>
    <t>President (Prime Minister), 1996–2004</t>
  </si>
  <si>
    <t>Partido Popular</t>
  </si>
  <si>
    <t>Former Executive President (1990–2004)</t>
  </si>
  <si>
    <t>FAES (Foundation for Social Studies and Analysis)</t>
  </si>
  <si>
    <t>President (since 1989)</t>
  </si>
  <si>
    <t>News Corp</t>
  </si>
  <si>
    <t>Independent Non-Executive Director (since 2013)</t>
  </si>
  <si>
    <t>Afiniti, Inc. / Afiniti Ltd. (Bermuda)</t>
  </si>
  <si>
    <t>Director</t>
  </si>
  <si>
    <t>U.S.-Spain Council, Inc.</t>
  </si>
  <si>
    <t>Friends of Israel Initiative</t>
  </si>
  <si>
    <t>Bussola Institute</t>
  </si>
  <si>
    <t>President-Honorary Board</t>
  </si>
  <si>
    <t>Barrick Gold</t>
  </si>
  <si>
    <t>International Advisory Board</t>
  </si>
  <si>
    <t>State Council of Spain</t>
  </si>
  <si>
    <t>Former member</t>
  </si>
  <si>
    <t>California Institute for Machine Consciousness (CIMC)</t>
  </si>
  <si>
    <t>Executive Director (since 2025)</t>
  </si>
  <si>
    <t>Liquid AI</t>
  </si>
  <si>
    <t>AI Strategist (since 2023)</t>
  </si>
  <si>
    <t>AI Foundation</t>
  </si>
  <si>
    <t>Former VP of Research</t>
  </si>
  <si>
    <t>Intel Labs</t>
  </si>
  <si>
    <t>Former Principal AI Engineer</t>
  </si>
  <si>
    <t>Klayo AG</t>
  </si>
  <si>
    <t>txtr GmbH</t>
  </si>
  <si>
    <t>Wizpac Ltd.</t>
  </si>
  <si>
    <t>Breitbart News</t>
  </si>
  <si>
    <t>Co-founder; Executive Chairman (2012–2018)</t>
  </si>
  <si>
    <t>Government Accountability Institute</t>
  </si>
  <si>
    <t>Cambridge Analytica</t>
  </si>
  <si>
    <t>Former Vice President</t>
  </si>
  <si>
    <t>The White House</t>
  </si>
  <si>
    <t>Former Chief Strategist (2017)</t>
  </si>
  <si>
    <t>War Room</t>
  </si>
  <si>
    <t>(podcast) — Host</t>
  </si>
  <si>
    <t>State of Israel</t>
  </si>
  <si>
    <t>Prime Minister (1999–2001); Minister of Defense</t>
  </si>
  <si>
    <t>InterCure / Canndoc Pharma</t>
  </si>
  <si>
    <t>Chairman of the Board</t>
  </si>
  <si>
    <t>Ehud Barak Limited</t>
  </si>
  <si>
    <t>SCP Private Equity Partners</t>
  </si>
  <si>
    <t>Former Partner</t>
  </si>
  <si>
    <t>Israel Labor Party</t>
  </si>
  <si>
    <t>Former leader</t>
  </si>
  <si>
    <t>Colony Capital</t>
  </si>
  <si>
    <t>(now DigitalBridge) — Founder and former Executive Chairman/CEO</t>
  </si>
  <si>
    <t>Colony Starwood Homes</t>
  </si>
  <si>
    <t>Founder (rental real estate)</t>
  </si>
  <si>
    <t>Trump Inaugural Committee</t>
  </si>
  <si>
    <t>(2017) — Chairman</t>
  </si>
  <si>
    <t>U.S. Ambassador to Turkey</t>
  </si>
  <si>
    <t>Current</t>
  </si>
  <si>
    <t>U.S. Special Envoy for Syria and Iraq</t>
  </si>
  <si>
    <t>Ministry of Economic Development, Russia</t>
  </si>
  <si>
    <t>Former Deputy Minister (2012–2014)</t>
  </si>
  <si>
    <t>St. Petersburg International Economic Forum</t>
  </si>
  <si>
    <t>Ozon</t>
  </si>
  <si>
    <t>Former Managing Director (2021–2024)</t>
  </si>
  <si>
    <t>Alliance of Pension Funds / Association of Retail Companies</t>
  </si>
  <si>
    <t>Former head</t>
  </si>
  <si>
    <t>Cyberus Foundation</t>
  </si>
  <si>
    <t>(cybersecurity development) — Partner</t>
  </si>
  <si>
    <t>Basic Element</t>
  </si>
  <si>
    <t>Former employee</t>
  </si>
  <si>
    <t>Russian Union of Industrialists and Entrepreneurs</t>
  </si>
  <si>
    <t>Apollo Global Management</t>
  </si>
  <si>
    <t>Co-founder; largest shareholder (~14%)</t>
  </si>
  <si>
    <t>Elysium Management</t>
  </si>
  <si>
    <t>Family office</t>
  </si>
  <si>
    <t>Former CEO and Chairman, Apollo Global Management (retired March 2021)</t>
  </si>
  <si>
    <t>Eldridge Industries</t>
  </si>
  <si>
    <t>Co-founder, Chairman, CEO</t>
  </si>
  <si>
    <t>Eldridge</t>
  </si>
  <si>
    <t>(asset manager) — Chairman</t>
  </si>
  <si>
    <t>Chelsea FC</t>
  </si>
  <si>
    <t>Co-controlling owner and Chairman</t>
  </si>
  <si>
    <t>RC Strasbourg</t>
  </si>
  <si>
    <t>(via BlueCo) — Co-owner</t>
  </si>
  <si>
    <t>Los Angeles Dodgers</t>
  </si>
  <si>
    <t>Part owner</t>
  </si>
  <si>
    <t>Security Benefit</t>
  </si>
  <si>
    <t>Cain International</t>
  </si>
  <si>
    <t>Metropolis Technologies</t>
  </si>
  <si>
    <t>Investor</t>
  </si>
  <si>
    <t>Investments via Eldridge: A24, Fulwell Entertainment, Penske Media (Hollywood Reporter, Variety, Billboard, Rolling Stone), Dick Clark Productions</t>
  </si>
  <si>
    <t>Bard College</t>
  </si>
  <si>
    <t>President (since 1975)</t>
  </si>
  <si>
    <t>American Symphony Orchestra</t>
  </si>
  <si>
    <t>Music Director and Principal Conductor (since 1992)</t>
  </si>
  <si>
    <t>The Orchestra Now (TŌN)</t>
  </si>
  <si>
    <t>Founder and Music Director</t>
  </si>
  <si>
    <t>Bard SummerScape / Bard Music Festival</t>
  </si>
  <si>
    <t>Artistic Co-director/Founder</t>
  </si>
  <si>
    <t>Jerusalem Symphony Orchestra</t>
  </si>
  <si>
    <t>Former Music Director (2003–2011); Conductor Laureate</t>
  </si>
  <si>
    <t>The Musical Quarterly</t>
  </si>
  <si>
    <t>Editor</t>
  </si>
  <si>
    <t>Campus Grafenegg / Grafenegg Academy</t>
  </si>
  <si>
    <t>(Austria) — Artistic Director</t>
  </si>
  <si>
    <t>City of Madrid</t>
  </si>
  <si>
    <t>Mayor (2011–2015)</t>
  </si>
  <si>
    <t>Municipal Transport Company of Madrid</t>
  </si>
  <si>
    <t>President (as Mayor)</t>
  </si>
  <si>
    <t>Union of Latin American Capital Cities</t>
  </si>
  <si>
    <t>Co-chair</t>
  </si>
  <si>
    <t>POLIS Network</t>
  </si>
  <si>
    <t>Chair</t>
  </si>
  <si>
    <t>Boards of Trustees: Museo del Prado, Royal Theater Foundation, National Heritage</t>
  </si>
  <si>
    <t>Member, National Executive Committee</t>
  </si>
  <si>
    <t>MIT</t>
  </si>
  <si>
    <t>Y. Eva Tan Professor in Neurotechnology</t>
  </si>
  <si>
    <t>MIT Center for Neurobiological Engineering</t>
  </si>
  <si>
    <t>Co-Director</t>
  </si>
  <si>
    <t>K. Lisa Yang Center for Bionics</t>
  </si>
  <si>
    <t>Howard Hughes Medical Institute</t>
  </si>
  <si>
    <t>Investigator</t>
  </si>
  <si>
    <t>Elemind Technologies, Inc.</t>
  </si>
  <si>
    <t>SynLife, Inc.</t>
  </si>
  <si>
    <t>Inner Cosmos</t>
  </si>
  <si>
    <t>Cognito Therapeutics, Inc.</t>
  </si>
  <si>
    <t>Expansion Technologies</t>
  </si>
  <si>
    <t>Virgin Group</t>
  </si>
  <si>
    <t>Founder (400+ companies)</t>
  </si>
  <si>
    <t>Virgin Atlantic, Virgin Australia, Virgin America</t>
  </si>
  <si>
    <t>Virgin Records</t>
  </si>
  <si>
    <t>(sold to EMI) / V2 Records</t>
  </si>
  <si>
    <t>Virgin Rail Group / Virgin Trains</t>
  </si>
  <si>
    <t>Virgin Galactic</t>
  </si>
  <si>
    <t>Virgin Mobile</t>
  </si>
  <si>
    <t>(sold to NTL/Virgin Media)</t>
  </si>
  <si>
    <t>Virgin Hotels</t>
  </si>
  <si>
    <t>, Virgin Holidays, Virgin Limited Edition</t>
  </si>
  <si>
    <t>Virgin Fuels</t>
  </si>
  <si>
    <t>Virgin Comics / Virgin Animation</t>
  </si>
  <si>
    <t>(with Deepak Chopra)</t>
  </si>
  <si>
    <t>Virgin Unite</t>
  </si>
  <si>
    <t>Entrepreneurial foundation of Virgin Group</t>
  </si>
  <si>
    <t>Incubated organizations: The Elders, Carbon War Room, B Team, Branson Centre of Entrepreneurship</t>
  </si>
  <si>
    <t>World Economic Forum</t>
  </si>
  <si>
    <t>President and CEO</t>
  </si>
  <si>
    <t>Former Minister of Foreign Affairs, Norway</t>
  </si>
  <si>
    <t>Former Minister of Trade and Industry, Norway</t>
  </si>
  <si>
    <t>Former Minister of Climate and the Environment, Norway</t>
  </si>
  <si>
    <t>Mesta</t>
  </si>
  <si>
    <t>(Norway's largest road contracting group) — Former Chairman</t>
  </si>
  <si>
    <t>Philanthropy Asia Alliance</t>
  </si>
  <si>
    <t>Bilderberg Meetings</t>
  </si>
  <si>
    <t>Board/Steering Committee</t>
  </si>
  <si>
    <t>Statoil</t>
  </si>
  <si>
    <t>Former Board Member</t>
  </si>
  <si>
    <t>Norwegian School of Economics</t>
  </si>
  <si>
    <t>Harvard International Negotiation Program</t>
  </si>
  <si>
    <t>Advisory Council</t>
  </si>
  <si>
    <t>Norwegian Red Cross</t>
  </si>
  <si>
    <t>Former Secretary-General</t>
  </si>
  <si>
    <t>Majestas Group</t>
  </si>
  <si>
    <t>Founder (hospitality holding company)</t>
  </si>
  <si>
    <t>Billionaire</t>
  </si>
  <si>
    <t>nightclub/restaurant brand — Creator (1998)</t>
  </si>
  <si>
    <t>Twiga</t>
  </si>
  <si>
    <t>nightclub chain — Founder (sold to LMDV Hospitality, 2025)</t>
  </si>
  <si>
    <t>Billionaire Italian Couture</t>
  </si>
  <si>
    <t>Alpine F1 Team</t>
  </si>
  <si>
    <t>Executive Adviser / de facto Team Principal</t>
  </si>
  <si>
    <t>Former Team Principal: Benetton F1, Renault F1</t>
  </si>
  <si>
    <t>Pierrel</t>
  </si>
  <si>
    <t>(pharmaceuticals) — Former 48.9% owner</t>
  </si>
  <si>
    <t>Lion in the Sun</t>
  </si>
  <si>
    <t>holiday resort, Kenya</t>
  </si>
  <si>
    <t>Google</t>
  </si>
  <si>
    <t>Alphabet Inc.</t>
  </si>
  <si>
    <t>Co-founder, former President, Board member, and controlling shareholder</t>
  </si>
  <si>
    <t>Significant philanthropic contributions (&gt;$1.5 billion) to Parkinson's disease research</t>
  </si>
  <si>
    <t>Brockman Literary Agency (Brockman Inc.)</t>
  </si>
  <si>
    <t>Edge Foundation</t>
  </si>
  <si>
    <t>(edge.org) — Founder</t>
  </si>
  <si>
    <t>The New York Times</t>
  </si>
  <si>
    <t>Op-Ed columnist (2003–2025)</t>
  </si>
  <si>
    <t>The Atlantic</t>
  </si>
  <si>
    <t>Staff writer (since 2026)</t>
  </si>
  <si>
    <t>Weave Project</t>
  </si>
  <si>
    <t>(at Aspen Institute) — Founder</t>
  </si>
  <si>
    <t>MC2 Model Management</t>
  </si>
  <si>
    <t>Founder/Owner</t>
  </si>
  <si>
    <t>Karin Models</t>
  </si>
  <si>
    <t>Next Management Corporation</t>
  </si>
  <si>
    <t>Central Intelligence Agency (CIA)</t>
  </si>
  <si>
    <t>Director (2021–2025)</t>
  </si>
  <si>
    <t>Carnegie Endowment for International Peace</t>
  </si>
  <si>
    <t>Former President</t>
  </si>
  <si>
    <t>U.S. Department of State</t>
  </si>
  <si>
    <t>Former Deputy Secretary of State; Former Under Secretary for Political Affairs</t>
  </si>
  <si>
    <t>U.S. Ambassador to Russia, U.S. Ambassador to Jordan</t>
  </si>
  <si>
    <t>Former</t>
  </si>
  <si>
    <t>Fashion for Relief</t>
  </si>
  <si>
    <t>Founder (closed 2024)</t>
  </si>
  <si>
    <t>We Love Brazil</t>
  </si>
  <si>
    <t>Co-founder (2005)</t>
  </si>
  <si>
    <t>Candy Capital</t>
  </si>
  <si>
    <t>Founder and CEO (family office)</t>
  </si>
  <si>
    <t>Candy Ventures</t>
  </si>
  <si>
    <t>Investment portfolio (fintech, deep tech, biotech, digital media, sports)</t>
  </si>
  <si>
    <t>One Hyde Park</t>
  </si>
  <si>
    <t>Co-developer (with brother Christian Candy)</t>
  </si>
  <si>
    <t>Republic of Cuba</t>
  </si>
  <si>
    <t>President (1976–2008); Prime Minister (1959–1976)</t>
  </si>
  <si>
    <t>Communist Party of Cuba</t>
  </si>
  <si>
    <t>First Secretary (1965–2011)</t>
  </si>
  <si>
    <t>July 26 Movement</t>
  </si>
  <si>
    <t>Committees for the Defense of the Revolution</t>
  </si>
  <si>
    <t>Latin American Solidarity Organization (OLAS)</t>
  </si>
  <si>
    <t>Non-Aligned Movement</t>
  </si>
  <si>
    <t>Secretary-General (2006–2008)</t>
  </si>
  <si>
    <t>Former Music Director (1998–2001, 2011–2019)</t>
  </si>
  <si>
    <t>Opera de Rouen</t>
  </si>
  <si>
    <t>Former Music Director (1991–1994)</t>
  </si>
  <si>
    <t>Nationaltheater Mannheim</t>
  </si>
  <si>
    <t>Former Generalmusikdirektor (2004–2007)</t>
  </si>
  <si>
    <t>Santa Fe Opera</t>
  </si>
  <si>
    <t>Former Chief Conductor (2010–2012)</t>
  </si>
  <si>
    <t>Published by Universal Edition (Vienna)</t>
  </si>
  <si>
    <t>Composer catalog of 250+ works</t>
  </si>
  <si>
    <t>MIT Department of Linguistics</t>
  </si>
  <si>
    <t>Co-founder of the graduate program; Institute Professor Emeritus</t>
  </si>
  <si>
    <t>University of Arizona</t>
  </si>
  <si>
    <t>Laureate Professor of Linguistics</t>
  </si>
  <si>
    <t>Chopra Foundation</t>
  </si>
  <si>
    <t>Founder (2009)</t>
  </si>
  <si>
    <t>Chopra Center for Wellbeing</t>
  </si>
  <si>
    <t>Co-founder (1996)</t>
  </si>
  <si>
    <t>JUST Capital</t>
  </si>
  <si>
    <t>Co-founder (with Paul Tudor Jones II, 2015)</t>
  </si>
  <si>
    <t>ISHAR</t>
  </si>
  <si>
    <t>(Integrative Studies Historical Archive and Repository) — Founder (2014)</t>
  </si>
  <si>
    <t>Co-founder (with Richard Branson, 2006)</t>
  </si>
  <si>
    <t>American Association for Ayurvedic Medicine</t>
  </si>
  <si>
    <t>Former Founder</t>
  </si>
  <si>
    <t>Maharishi AyurVeda Products International</t>
  </si>
  <si>
    <t>Men's Wearhouse</t>
  </si>
  <si>
    <t>Board member (since 2004)</t>
  </si>
  <si>
    <t>Gallup Organization</t>
  </si>
  <si>
    <t>Former Senior Scientist</t>
  </si>
  <si>
    <t>Harvard Medical School / Wyss Institute</t>
  </si>
  <si>
    <t>Professor of Genetics; Core Faculty</t>
  </si>
  <si>
    <t>Co</t>
  </si>
  <si>
    <t>founded approximately 50 biotechnology companies, including:</t>
  </si>
  <si>
    <t>Veritas Genetics</t>
  </si>
  <si>
    <t>(full genome sequencing)</t>
  </si>
  <si>
    <t>Nebula Genomics</t>
  </si>
  <si>
    <t>(personal genomics)</t>
  </si>
  <si>
    <t>Editas Medicine</t>
  </si>
  <si>
    <t>(gene therapy)</t>
  </si>
  <si>
    <t>Gen9bio</t>
  </si>
  <si>
    <t>(synthetic DNA)</t>
  </si>
  <si>
    <t>Manifold Bio</t>
  </si>
  <si>
    <t>(protein barcoding)</t>
  </si>
  <si>
    <t>Knome</t>
  </si>
  <si>
    <t>(human genomics)</t>
  </si>
  <si>
    <t>LS9</t>
  </si>
  <si>
    <t>(green chemistry)</t>
  </si>
  <si>
    <t>Joule Unlimited</t>
  </si>
  <si>
    <t>(solar fuel)</t>
  </si>
  <si>
    <t>Warp Drive Bio</t>
  </si>
  <si>
    <t>Alacris</t>
  </si>
  <si>
    <t>Pathogenica</t>
  </si>
  <si>
    <t>initiator, Human Genome Project (1984)</t>
  </si>
  <si>
    <t>Founder, Personal Genome Project (2005)</t>
  </si>
  <si>
    <t>Russian Federation</t>
  </si>
  <si>
    <t>Permanent Representative to the United Nations (2006–2017)</t>
  </si>
  <si>
    <t>Former Ambassador to Belgium (1994</t>
  </si>
  <si>
    <t>1998) and Canada (1998–2003)</t>
  </si>
  <si>
    <t>Chairman, Senior Officials of the Arctic Council</t>
  </si>
  <si>
    <t>United States of America</t>
  </si>
  <si>
    <t>42nd President (1993–2001)</t>
  </si>
  <si>
    <t>Clinton Foundation</t>
  </si>
  <si>
    <t>(Bill, Hillary &amp; Chelsea Clinton Foundation) — Founder</t>
  </si>
  <si>
    <t>Clinton Global Initiative (CGI)</t>
  </si>
  <si>
    <t>Clinton Climate Initiative (CCI)</t>
  </si>
  <si>
    <t>Interim Haiti Recovery Commission</t>
  </si>
  <si>
    <t>International Museum and Library of the Conjuring Arts</t>
  </si>
  <si>
    <t>Owner</t>
  </si>
  <si>
    <t>Musha Cay and the Islands of Copperfield Bay</t>
  </si>
  <si>
    <t>Owner (~700-acre archipelago, Bahamas)</t>
  </si>
  <si>
    <t>Project Magic</t>
  </si>
  <si>
    <t>Founder (rehabilitation program in 1,100+ hospitals)</t>
  </si>
  <si>
    <t>Campbell, Silver, Cosby (CSC) Corporation</t>
  </si>
  <si>
    <t>Tetragrammaton Records</t>
  </si>
  <si>
    <t>(division of CSC) — Co-founder</t>
  </si>
  <si>
    <t>William Henry Cosby Jr and Camille Olivia Cosby Foundation</t>
  </si>
  <si>
    <t>Dalai Lama (Tenzin Gyatso)</t>
  </si>
  <si>
    <t>Tibetan Government-in-Exile (Central Tibetan Administration)</t>
  </si>
  <si>
    <t>Spiritual leader</t>
  </si>
  <si>
    <t>Gaden Phodrang Foundation of the Dalai Lama</t>
  </si>
  <si>
    <t>Founder and President</t>
  </si>
  <si>
    <t>Richard Dawkins Foundation for Reason and Science</t>
  </si>
  <si>
    <t>Founder (now a division of Center for Inquiry after 2016 merger)</t>
  </si>
  <si>
    <t>Center for Inquiry</t>
  </si>
  <si>
    <t>Board of Directors (post-merger)</t>
  </si>
  <si>
    <t>Harvard Law School</t>
  </si>
  <si>
    <t>Felix Frankfurter Professor of Law Emeritus (1964–2013)</t>
  </si>
  <si>
    <t>Gatestone Institute</t>
  </si>
  <si>
    <t>Distinguished Senior Fellow</t>
  </si>
  <si>
    <t>Private legal practice</t>
  </si>
  <si>
    <t>Day One Ventures</t>
  </si>
  <si>
    <t>Founder and General Partner (venture capital firm, 2017)</t>
  </si>
  <si>
    <t>M&amp;A PR Studio</t>
  </si>
  <si>
    <t>Former Federal Commissioner/Spokesperson, Nashi (pro</t>
  </si>
  <si>
    <t>Kremlin youth movement, 2007–2011)</t>
  </si>
  <si>
    <t>Former VP of Communications, Acronis</t>
  </si>
  <si>
    <t>Dubin &amp; Co. LP</t>
  </si>
  <si>
    <t>Founder and Principal</t>
  </si>
  <si>
    <t>Highbridge Capital Management</t>
  </si>
  <si>
    <t>Co-founder (acquired by J.P. Morgan)</t>
  </si>
  <si>
    <t>Castleton Commodities International (CCI)</t>
  </si>
  <si>
    <t>Lead shareholder</t>
  </si>
  <si>
    <t>Engineers Gate LP</t>
  </si>
  <si>
    <t>Robin Hood Foundation</t>
  </si>
  <si>
    <t>Founding board member</t>
  </si>
  <si>
    <t>Island Capital Group LLC</t>
  </si>
  <si>
    <t>Founder, Chairman, and CEO</t>
  </si>
  <si>
    <t>C-III Capital Partners</t>
  </si>
  <si>
    <t>CEO</t>
  </si>
  <si>
    <t>Anubis Advisors</t>
  </si>
  <si>
    <t>Island Global Yachting</t>
  </si>
  <si>
    <t>Insignia Financial Group</t>
  </si>
  <si>
    <t>(NYSE: IFS) — Former Founder, Chairman, and CEO (merged with CBRE in 2003)</t>
  </si>
  <si>
    <t>Children in Crisis</t>
  </si>
  <si>
    <t>Founder and Life President (1993)</t>
  </si>
  <si>
    <t>The Sarah Ferguson Foundation</t>
  </si>
  <si>
    <t>(Toronto) — Founder (2006)</t>
  </si>
  <si>
    <t>Sarah's Trust</t>
  </si>
  <si>
    <t>Founder (2020)</t>
  </si>
  <si>
    <t>Hartmoor LLC</t>
  </si>
  <si>
    <t>Founder (2006; collapsed 2009)</t>
  </si>
  <si>
    <t>Key to Freedom</t>
  </si>
  <si>
    <t>Co-founder (with Prince Andrew, Beatrice, and Eugenie, 2013)</t>
  </si>
  <si>
    <t>Patron/President: Motor Neurone Disease Association, International Alliance for ALS, and others</t>
  </si>
  <si>
    <t>Microsoft</t>
  </si>
  <si>
    <t>Bill &amp; Melinda Gates Foundation</t>
  </si>
  <si>
    <t>Breakthrough Energy</t>
  </si>
  <si>
    <t>Cascade Investment LLC</t>
  </si>
  <si>
    <t>Founder (manages family office and foundation investments)</t>
  </si>
  <si>
    <t>TerraPower</t>
  </si>
  <si>
    <t>Co-founder (advanced nuclear energy)</t>
  </si>
  <si>
    <t>BENlabs</t>
  </si>
  <si>
    <t>(formerly Corbis) — Significant equity holder</t>
  </si>
  <si>
    <t>Gates Foundation Trust</t>
  </si>
  <si>
    <t>Major shareholdings in Ecolab, Walmart, Coca-Cola Femsa, Waste Connections, and others</t>
  </si>
  <si>
    <t>Yale University</t>
  </si>
  <si>
    <t>Professor of Computer Science</t>
  </si>
  <si>
    <t>Mirror Worlds Technologies</t>
  </si>
  <si>
    <t>Chief Scientist</t>
  </si>
  <si>
    <t>National Council of the Arts</t>
  </si>
  <si>
    <t>Member</t>
  </si>
  <si>
    <t>Joe Gibbs Racing (JGR)</t>
  </si>
  <si>
    <t>Founder and Owner (1992)</t>
  </si>
  <si>
    <t>Harris Blitzer Sports &amp; Entertainment (HBSE)</t>
  </si>
  <si>
    <t>Limited Partner</t>
  </si>
  <si>
    <t>Pro Football Hall of Fame</t>
  </si>
  <si>
    <t>inductee; former head coach of Washington NFL franchise</t>
  </si>
  <si>
    <t>NYU Stern School of Business</t>
  </si>
  <si>
    <t>Professor of Ethical Leadership</t>
  </si>
  <si>
    <t>Ethical Systems</t>
  </si>
  <si>
    <t>Founder (2011)</t>
  </si>
  <si>
    <t>Heterodox Academy</t>
  </si>
  <si>
    <t>Co-founder (2015)</t>
  </si>
  <si>
    <t>Let Grow</t>
  </si>
  <si>
    <t>Co-founder (2017)</t>
  </si>
  <si>
    <t>Constructive Dialogue Institute</t>
  </si>
  <si>
    <t>After Babel</t>
  </si>
  <si>
    <t>Publisher (Substack)</t>
  </si>
  <si>
    <t>Founder and Managing Partner</t>
  </si>
  <si>
    <t>26North</t>
  </si>
  <si>
    <t>Founder (alternative assets firm, 2022)</t>
  </si>
  <si>
    <t>Philadelphia 76ers</t>
  </si>
  <si>
    <t>Managing Partner</t>
  </si>
  <si>
    <t>New Jersey Devils</t>
  </si>
  <si>
    <t>Washington Commanders</t>
  </si>
  <si>
    <t>Crystal Palace FC</t>
  </si>
  <si>
    <t>General Partner</t>
  </si>
  <si>
    <t>Joe Gibbs Racing</t>
  </si>
  <si>
    <t>Minority stakeholder</t>
  </si>
  <si>
    <t>Harris Philanthropies</t>
  </si>
  <si>
    <t>Founder (2014)</t>
  </si>
  <si>
    <t>Waking Up</t>
  </si>
  <si>
    <t>(meditation app and platform) — Founder and CEO</t>
  </si>
  <si>
    <t>Making Sense</t>
  </si>
  <si>
    <t>podcast — Host</t>
  </si>
  <si>
    <t>Project Reason</t>
  </si>
  <si>
    <t>Co-founder (non-profit promoting science and secularism)</t>
  </si>
  <si>
    <t>Stephen Hawking</t>
  </si>
  <si>
    <t>University of Cambridge, DAMTP</t>
  </si>
  <si>
    <t>Lucasian Professor of Mathematics (1979–2009)</t>
  </si>
  <si>
    <t>Centre for Theoretical Cosmology</t>
  </si>
  <si>
    <t>(Cambridge) — Director/Founder</t>
  </si>
  <si>
    <t>Stephen Hawking Foundation</t>
  </si>
  <si>
    <t>LinkedIn</t>
  </si>
  <si>
    <t>Co-founder (2003)</t>
  </si>
  <si>
    <t>Greylock Partners</t>
  </si>
  <si>
    <t>Partner (since 2009)</t>
  </si>
  <si>
    <t>PayPal</t>
  </si>
  <si>
    <t>Former Executive Vice President; Founding Board Member</t>
  </si>
  <si>
    <t>Board of Directors</t>
  </si>
  <si>
    <t>Board Director: Aurora, Entrepreneur First, Inflection, Nauto</t>
  </si>
  <si>
    <t>Non</t>
  </si>
  <si>
    <t>profit boards: Kiva, Mozilla Corporation, Endeavor, Do Something</t>
  </si>
  <si>
    <t>Museum of the Rockies</t>
  </si>
  <si>
    <t>Former Curator of Paleontology (retired 2016); the museum's paleontology curator position is now named the "John R. Horner Curator of Paleontology" in his honor</t>
  </si>
  <si>
    <t>Montana State University</t>
  </si>
  <si>
    <t>Regents Professor of Paleontology (Emeritus)</t>
  </si>
  <si>
    <t>Chapman University</t>
  </si>
  <si>
    <t>Presidential Fellow (post-retirement role)</t>
  </si>
  <si>
    <t>MIT Media Lab</t>
  </si>
  <si>
    <t>Former Director (2011–2019; resigned over Epstein ties)</t>
  </si>
  <si>
    <t>Neoteny Co., Ltd.</t>
  </si>
  <si>
    <t>Founder &amp; CEO (venture capital firm, Tokyo; 1999–2015)</t>
  </si>
  <si>
    <t>Neoteny Labs</t>
  </si>
  <si>
    <t>General Partner (2009–present)</t>
  </si>
  <si>
    <t>Digital Garage</t>
  </si>
  <si>
    <t>Co-founder (one of Japan's first web companies)</t>
  </si>
  <si>
    <t>Creative Commons</t>
  </si>
  <si>
    <t>Former Board Chair and Chief Executive</t>
  </si>
  <si>
    <t>Gelephu Investment and Development Corporation (GIDC), Bhutan</t>
  </si>
  <si>
    <t>Board Chair (2024–present)</t>
  </si>
  <si>
    <t>Gelephu Mindfulness City, Bhutan</t>
  </si>
  <si>
    <t>Board Member (2024–present)</t>
  </si>
  <si>
    <t>Happiness Capital (Hong Kong)</t>
  </si>
  <si>
    <t>Non-Executive Board Chair (2022–present)</t>
  </si>
  <si>
    <t>gmjp (web3 fund)</t>
  </si>
  <si>
    <t>Director (2022–present)</t>
  </si>
  <si>
    <t>Chiba Institute of Technology</t>
  </si>
  <si>
    <t>President</t>
  </si>
  <si>
    <t>Artificial Intelligence Development Council, Republic of Kazakhstan</t>
  </si>
  <si>
    <t>Member (2025–present)</t>
  </si>
  <si>
    <t>Former board memberships:</t>
  </si>
  <si>
    <t>The New York Times Company (2012–2019), Sony Corporation (2013–2017), MacArthur Foundation (2012–2019), Knight Foundation (2011–2019), Japan Society, ICANN, Mozilla Foundation, Akili Interactive Labs, Oblong Industries, PureTech Health (former Chairman), Safecast (co-founder)</t>
  </si>
  <si>
    <t>Early</t>
  </si>
  <si>
    <t>stage investor in: Twitter, Kickstarter, Flickr, Formlabs, littleBits</t>
  </si>
  <si>
    <t>Michael Jackson</t>
  </si>
  <si>
    <t>MJJ Productions LLC</t>
  </si>
  <si>
    <t>Founder (intellectual property, music)</t>
  </si>
  <si>
    <t>MJJ Ventures Inc.</t>
  </si>
  <si>
    <t>Founder (video/film-related projects)</t>
  </si>
  <si>
    <t>The Michael Jackson Company LLC</t>
  </si>
  <si>
    <t>Established as centerpiece of his re-organized empire</t>
  </si>
  <si>
    <t>Triumph International Inc.</t>
  </si>
  <si>
    <t>Founder (intellectual property, trademarks)</t>
  </si>
  <si>
    <t>Optimum Productions Inc.</t>
  </si>
  <si>
    <t>Founder (video releases)</t>
  </si>
  <si>
    <t>MJJ Records LLC / MJJ Music</t>
  </si>
  <si>
    <t>50% ownership joint venture with Sony</t>
  </si>
  <si>
    <t>Sycamore Valley Ranch Co. LLC</t>
  </si>
  <si>
    <t>87.5% ownership (Neverland Ranch)</t>
  </si>
  <si>
    <t>Mijac Music</t>
  </si>
  <si>
    <t>Music publishing catalog (now part of estate)</t>
  </si>
  <si>
    <t>Estate of Michael Jackson</t>
  </si>
  <si>
    <t>Managed by co-executors John Branca and John McClain</t>
  </si>
  <si>
    <t>Council of Europe</t>
  </si>
  <si>
    <t>Former Secretary General (2009–2019)</t>
  </si>
  <si>
    <t>Norwegian Nobel Committee</t>
  </si>
  <si>
    <t>Former Chairman (2009–2015)</t>
  </si>
  <si>
    <t>Norwegian Labour Party</t>
  </si>
  <si>
    <t>Former leader; served as Prime Minister of Norway (1996–1997)</t>
  </si>
  <si>
    <t>Storting (Norwegian Parliament)</t>
  </si>
  <si>
    <t>Former President (2005–2009)</t>
  </si>
  <si>
    <t>Ministry of Foreign Affairs (Norway)</t>
  </si>
  <si>
    <t>Former Minister of Foreign Affairs (2000–2001)</t>
  </si>
  <si>
    <t>Roc Nation</t>
  </si>
  <si>
    <t>Founder &amp; CEO (entertainment/sports management company)</t>
  </si>
  <si>
    <t>Marcy Venture Partners</t>
  </si>
  <si>
    <t>Co-founder (venture capital fund)</t>
  </si>
  <si>
    <t>Roc-A-Fella Records</t>
  </si>
  <si>
    <t>Co-founder (with Damon Dash and Kareem Burke)</t>
  </si>
  <si>
    <t>Rocawear</t>
  </si>
  <si>
    <t>Co-founder (clothing line; sold to Iconix Brand Group in 2007)</t>
  </si>
  <si>
    <t>Tidal</t>
  </si>
  <si>
    <t>Former majority owner (music streaming; sold to Square/Block in 2021)</t>
  </si>
  <si>
    <t>Armand de Brignac (Ace of Spades)</t>
  </si>
  <si>
    <t>Former owner (champagne brand; sold 50% to LVMH in 2021)</t>
  </si>
  <si>
    <t>D'Ussé</t>
  </si>
  <si>
    <t>Co-brand owner with Bacardi (cognac)</t>
  </si>
  <si>
    <t>Shawn Carter Foundation</t>
  </si>
  <si>
    <t>Co-founder (scholarship non-profit)</t>
  </si>
  <si>
    <t>Team Roc</t>
  </si>
  <si>
    <t>Social justice initiative within Roc Nation</t>
  </si>
  <si>
    <t>Early investor in Uber (Series B, 2011) and JetSmarter</t>
  </si>
  <si>
    <t>U.S. Virgin Islands</t>
  </si>
  <si>
    <t>Former Governor (2007–2015)</t>
  </si>
  <si>
    <t>Government of the U.S. Virgin Islands</t>
  </si>
  <si>
    <t>Chief executive during tenure</t>
  </si>
  <si>
    <t>NJF Holdings</t>
  </si>
  <si>
    <t>Founder (international finance and investment company)</t>
  </si>
  <si>
    <t>NJF Capital</t>
  </si>
  <si>
    <t>Founder (venture capital arm of NJF Holdings, investing in deep-tech, fintech, healthcare)</t>
  </si>
  <si>
    <t>Infront Sports &amp; Media</t>
  </si>
  <si>
    <t>Former Vice Chairman and major investor; helped build and sell to Bridgepoint Capital (2011)</t>
  </si>
  <si>
    <t>United in Sports</t>
  </si>
  <si>
    <t>Founder (private equity fund focused on sports/media, ~€250M)</t>
  </si>
  <si>
    <t>Shanghai Really Sports</t>
  </si>
  <si>
    <t>Former investor</t>
  </si>
  <si>
    <t>Portfolio investments include: OWKIN, Deep Genomics, Bolt, Songza (acquired by Google), Dollar Shave Club (acquired by Unilever), RelateIQ (acquired by Salesforce)</t>
  </si>
  <si>
    <t>Career diplomat</t>
  </si>
  <si>
    <t>Permanent Mission of Norway to the United Nations</t>
  </si>
  <si>
    <t>Former Permanent Representative (2019–2023)</t>
  </si>
  <si>
    <t>Norwegian Embassy to the United Kingdom</t>
  </si>
  <si>
    <t>Former Ambassador (2014–2018)</t>
  </si>
  <si>
    <t>Norwegian Embassy to Israel</t>
  </si>
  <si>
    <t>Former Ambassador (2001–2004)</t>
  </si>
  <si>
    <t>Role in the secret negotiations that produced the Oslo Accords between Israel and the PLO</t>
  </si>
  <si>
    <t>DEKA Research &amp; Development Corporation</t>
  </si>
  <si>
    <t>Founder &amp; President (1982–present)</t>
  </si>
  <si>
    <t>FIRST (For Inspiration and Recognition of Science and Technology)</t>
  </si>
  <si>
    <t>Founder (1989)</t>
  </si>
  <si>
    <t>FIRST Global</t>
  </si>
  <si>
    <t>Advanced Regenerative Manufacturing Institute (ARMI) / BioFabUSA</t>
  </si>
  <si>
    <t>AutoSyringe, Inc.</t>
  </si>
  <si>
    <t>Founder (sold to Baxter Healthcare)</t>
  </si>
  <si>
    <t>Inventor of the Segway and iBOT mobility system</t>
  </si>
  <si>
    <t>Paul, Weiss, Rifkind, Wharton &amp; Garrison LLP</t>
  </si>
  <si>
    <t>Chairman (since 2008)</t>
  </si>
  <si>
    <t>Legal Action Center</t>
  </si>
  <si>
    <t>Continental Grain Company</t>
  </si>
  <si>
    <t>Director (Chair, Audit and Risk Committee)</t>
  </si>
  <si>
    <t>Board/Trustee roles: Mount Sinai Hospital, New York</t>
  </si>
  <si>
    <t>Presbyterian Hospital, Lincoln Center for the Performing Arts, Partnership for New York City, Paley Center for Media, Junior Achievement Worldwide, Union College, Jewish Museum, Cold Spring Harbor Laboratory, Whitney Museum, and 40+ other public interest and educational boards</t>
  </si>
  <si>
    <t>U.S. Department of Health and Human Services</t>
  </si>
  <si>
    <t>Secretary (nominated by President Trump)</t>
  </si>
  <si>
    <t>Children's Health Defense</t>
  </si>
  <si>
    <t>Founder &amp; former Chairman/Chief Litigation Counsel</t>
  </si>
  <si>
    <t>Waterkeeper Alliance</t>
  </si>
  <si>
    <t>Co-founder &amp; former President</t>
  </si>
  <si>
    <t>Kennedy &amp; Madonna LLP</t>
  </si>
  <si>
    <t>Co-founder (environmental law firm)</t>
  </si>
  <si>
    <t>Keeper Springs</t>
  </si>
  <si>
    <t>Co-founder (bottled water company)</t>
  </si>
  <si>
    <t>VantagePoint Capital Partners</t>
  </si>
  <si>
    <t>Former Venture Partner/Senior Advisor</t>
  </si>
  <si>
    <t>Former board/advisory roles with various environmental and health organizations</t>
  </si>
  <si>
    <t>Jeff Koons, LLC</t>
  </si>
  <si>
    <t>Founder (fine art studio, New York)</t>
  </si>
  <si>
    <t>Antiquity Stone / Advanced Stone Technologies</t>
  </si>
  <si>
    <t>Owner (stone fabrication facility, Pennsylvania; acquired 2012)</t>
  </si>
  <si>
    <t>Active Learning Sciences, Inc.</t>
  </si>
  <si>
    <t>Founder, President &amp; CEO</t>
  </si>
  <si>
    <t>Minerva University (Minerva Schools)</t>
  </si>
  <si>
    <t>Founding Dean &amp; Chief Academic Officer (left 2018)</t>
  </si>
  <si>
    <t>Foundry College</t>
  </si>
  <si>
    <t>Founder &amp; Chief Academic Officer (online two-year college)</t>
  </si>
  <si>
    <t>Former Director, Center for Advanced Study in the Behavioral Sciences (Stanford)</t>
  </si>
  <si>
    <t>Activision (later Activision Blizzard)</t>
  </si>
  <si>
    <t>Former CEO (1991–2023; retired after Microsoft acquisition)</t>
  </si>
  <si>
    <t>Call of Duty Endowment</t>
  </si>
  <si>
    <t>Co-founder &amp; Co-Chairman (veterans' nonprofit)</t>
  </si>
  <si>
    <t>Leisure Concepts</t>
  </si>
  <si>
    <t>Former CEO</t>
  </si>
  <si>
    <t>Berggruen Institute</t>
  </si>
  <si>
    <t>Board member</t>
  </si>
  <si>
    <t>Origins Project (ASU)</t>
  </si>
  <si>
    <t>Founder &amp; Former Director (2008–2018)</t>
  </si>
  <si>
    <t>Former Foundation Professor, Arizona State University School of Earth and Space Exploration</t>
  </si>
  <si>
    <t>Author and public intellectual in theoretical physics</t>
  </si>
  <si>
    <t>Ministry of Foreign Affairs, Slovak Republic</t>
  </si>
  <si>
    <t>Former Minister (2009–2010, 2012–2020)</t>
  </si>
  <si>
    <t>United Nations General Assembly (72nd Session)</t>
  </si>
  <si>
    <t>Former President (2017–2018)</t>
  </si>
  <si>
    <t>International Community in Bosnia and Herzegovina</t>
  </si>
  <si>
    <t>Former High Representative / EU Special Representative (2007–2009)</t>
  </si>
  <si>
    <t>OSCE</t>
  </si>
  <si>
    <t>Former Chairperson-in-Office (2019)</t>
  </si>
  <si>
    <t>European External Action Service</t>
  </si>
  <si>
    <t>First Managing Director for Europe &amp; Central Asia (2010–2012)</t>
  </si>
  <si>
    <t>EU Special Representative, Belgrade-Pristina Dialogue</t>
  </si>
  <si>
    <t>Served until 2025</t>
  </si>
  <si>
    <t>European University Institute</t>
  </si>
  <si>
    <t>Adjunct Professor</t>
  </si>
  <si>
    <t>Cirque du Soleil</t>
  </si>
  <si>
    <t>Co-founder (1984; sold all shares by 2020)</t>
  </si>
  <si>
    <t>One Drop Foundation</t>
  </si>
  <si>
    <t>Founder (clean water access charity)</t>
  </si>
  <si>
    <t>Lune Rouge</t>
  </si>
  <si>
    <t>Founder (entertainment/technology investment company)</t>
  </si>
  <si>
    <t>Ohio State University Wexner Medical Center</t>
  </si>
  <si>
    <t>Professor and former Chair, Department of Obstetrics &amp; Gynecology</t>
  </si>
  <si>
    <t>Former consultant to New York Strategies Group</t>
  </si>
  <si>
    <t>SPI (Syndicat des Producteurs Indépendants)</t>
  </si>
  <si>
    <t>Former Managing Director (resigned February 2026)</t>
  </si>
  <si>
    <t>Pyrtanée LLC</t>
  </si>
  <si>
    <t>Co-established with Jeffrey Epstein in 2016 (U.S. Virgin Islands; art investment firm)</t>
  </si>
  <si>
    <t>Series Mania</t>
  </si>
  <si>
    <t>Fondation Le Refuge</t>
  </si>
  <si>
    <t>Board member (LGBT+ youth charity)</t>
  </si>
  <si>
    <t>PFDM</t>
  </si>
  <si>
    <t>Member (French association promoting women in media)</t>
  </si>
  <si>
    <t>Former executive at Warner Bros. France</t>
  </si>
  <si>
    <t>Institut du Monde Arabe (Arab World Institute), Paris</t>
  </si>
  <si>
    <t>Former President (resigned 2026 after Epstein revelations)</t>
  </si>
  <si>
    <t>French National Assembly</t>
  </si>
  <si>
    <t>Government of France</t>
  </si>
  <si>
    <t>Former Minister of Culture (1981–1986, 1988–1993); Former Minister of Education (2000–2002)</t>
  </si>
  <si>
    <t>Estée Lauder Companies</t>
  </si>
  <si>
    <t>Major shareholder (~3.8% Class B shares); Former Chairman of Estée Lauder International; Former Executive Vice President</t>
  </si>
  <si>
    <t>Clinique Laboratories LLC</t>
  </si>
  <si>
    <t>Chairman (since 1993)</t>
  </si>
  <si>
    <t>World Jewish Congress</t>
  </si>
  <si>
    <t>President (since 2009)</t>
  </si>
  <si>
    <t>Neue Galerie New York</t>
  </si>
  <si>
    <t>Founder &amp; President (2001)</t>
  </si>
  <si>
    <t>Ronald S. Lauder Foundation</t>
  </si>
  <si>
    <t>Founder &amp; Chairman/President (since 1987)</t>
  </si>
  <si>
    <t>Central European Media Enterprises</t>
  </si>
  <si>
    <t>Founder &amp; Former Non-Executive Chairman (1994)</t>
  </si>
  <si>
    <t>RWL Water LLC</t>
  </si>
  <si>
    <t>Founder &amp; Chairman (2010)</t>
  </si>
  <si>
    <t>PanAfrican Investment Co. LLC</t>
  </si>
  <si>
    <t>Founder &amp; Managing Member</t>
  </si>
  <si>
    <t>Alzheimer's Drug Discovery Foundation</t>
  </si>
  <si>
    <t>Co-Chairman (co-founder)</t>
  </si>
  <si>
    <t>Brandeis University</t>
  </si>
  <si>
    <t>Chairman, Board of Trustees</t>
  </si>
  <si>
    <t>Jewish National Fund United States</t>
  </si>
  <si>
    <t>Director/Board Member</t>
  </si>
  <si>
    <t>Former Chairman, Board of Trustees, The Museum of Modern Art</t>
  </si>
  <si>
    <t>Russia</t>
  </si>
  <si>
    <t>Minister of Foreign Affairs (since 2004)</t>
  </si>
  <si>
    <t>Russian International Affairs Council (RIAC)</t>
  </si>
  <si>
    <t>Chairman of the Board of Trustees</t>
  </si>
  <si>
    <t>Former Permanent Representative of Russia to the United Nations and UN Security Council</t>
  </si>
  <si>
    <t>Former Chairman, Committee of Ministers, Council of Europe</t>
  </si>
  <si>
    <t>Cantor Fitzgerald</t>
  </si>
  <si>
    <t>Former Chairman &amp; CEO (transferred ownership to trusts for his children in 2025)</t>
  </si>
  <si>
    <t>BGC Group / BGC Partners</t>
  </si>
  <si>
    <t>Founder (2004; divested all ownership/voting interests in 2025)</t>
  </si>
  <si>
    <t>Newmark Group, Inc.</t>
  </si>
  <si>
    <t>Led acquisition (commercial real estate advisory)</t>
  </si>
  <si>
    <t>Cantor Commercial Real Estate (CCRE)</t>
  </si>
  <si>
    <t>Founder/overseer</t>
  </si>
  <si>
    <t>Cantor Ventures</t>
  </si>
  <si>
    <t>Founder (venture capital arm)</t>
  </si>
  <si>
    <t>U.S. Department of Commerce</t>
  </si>
  <si>
    <t>Secretary of Commerce (appointed January 2025 by President Trump)</t>
  </si>
  <si>
    <t>Global Counsel</t>
  </si>
  <si>
    <t>Co-founder (lobbying/strategic advisory firm, London, 2010)</t>
  </si>
  <si>
    <t>UK Government</t>
  </si>
  <si>
    <t>Former Secretary of State for Trade and Industry; Former Secretary of State for Northern Ireland; Former Secretary of State for Business, Innovation and Skills</t>
  </si>
  <si>
    <t>European Commission</t>
  </si>
  <si>
    <t>Former European Commissioner for Trade (2004–2008)</t>
  </si>
  <si>
    <t>House of Lords</t>
  </si>
  <si>
    <t>Former Life Peer (resigned from Labour Party and House of Lords in early February 2026)</t>
  </si>
  <si>
    <t>Lazard</t>
  </si>
  <si>
    <t>Former Senior Adviser (2011–2022)</t>
  </si>
  <si>
    <t>Deutsche Bank's Alfred Herrhausen Gesellschaft</t>
  </si>
  <si>
    <t>Former Board of Trustees member (2013)</t>
  </si>
  <si>
    <t>Lobbying clients included: Shein, Shell, Palantir, Alibaba, TikTok</t>
  </si>
  <si>
    <t>Nadia Marcinko (also known as Nadia Marcinkova)</t>
  </si>
  <si>
    <t>Aviloop</t>
  </si>
  <si>
    <t>Founder &amp; CEO (aviation consulting and marketing company)</t>
  </si>
  <si>
    <t>Licensed Airline Transport Pilot (ATP), rated on multiple Gulfstream and Boeing aircraft</t>
  </si>
  <si>
    <t>Ashley Massaro</t>
  </si>
  <si>
    <t>WWE (World Wrestling Entertainment)</t>
  </si>
  <si>
    <t>Former professional wrestler/performer (2005–2008)</t>
  </si>
  <si>
    <t>TerraMar Project</t>
  </si>
  <si>
    <t>Founder (ocean conservation nonprofit, 2012; shut down July 2019)</t>
  </si>
  <si>
    <t>Terramar (UK)</t>
  </si>
  <si>
    <t>Director (dissolved December 2019)</t>
  </si>
  <si>
    <t>Max Foundation Tr.</t>
  </si>
  <si>
    <t>Trustee (private philanthropic foundation)</t>
  </si>
  <si>
    <t>Oxford United Football Club</t>
  </si>
  <si>
    <t>Former Director (during Robert Maxwell's ownership)</t>
  </si>
  <si>
    <t>Former employee at *The European* newspaper (her father's publication)</t>
  </si>
  <si>
    <t>Former social figure in Kit</t>
  </si>
  <si>
    <t>Cat Club (women's social club she founded)</t>
  </si>
  <si>
    <t>Maxwell Communication Corporation (MCC)</t>
  </si>
  <si>
    <t>Founder/Owner (formerly British Printing and Communication Corporation)</t>
  </si>
  <si>
    <t>Mirror Group Newspapers</t>
  </si>
  <si>
    <t>Owner (Daily Mirror, Sunday Mirror, Scottish Daily Record, etc.)</t>
  </si>
  <si>
    <t>Pergamon Press</t>
  </si>
  <si>
    <t>Co-founder/Owner (academic publishing; sold to Elsevier 1991)</t>
  </si>
  <si>
    <t>Macmillan Inc.</t>
  </si>
  <si>
    <t>Owner (acquired 1988 for $2.6 billion)</t>
  </si>
  <si>
    <t>The European</t>
  </si>
  <si>
    <t>Founder (transnational newspaper)</t>
  </si>
  <si>
    <t>New York Daily News</t>
  </si>
  <si>
    <t>Owner (acquired 1991)</t>
  </si>
  <si>
    <t>Maxwell Foundation</t>
  </si>
  <si>
    <t>Established in Liechtenstein (1970)</t>
  </si>
  <si>
    <t>Berlitz Language Schools</t>
  </si>
  <si>
    <t>Nimbus Records</t>
  </si>
  <si>
    <t>Prentice Hall Information Services</t>
  </si>
  <si>
    <t>MTV Europe</t>
  </si>
  <si>
    <t>Half-share owner</t>
  </si>
  <si>
    <t>Former Owner</t>
  </si>
  <si>
    <t>Fleetway Publications</t>
  </si>
  <si>
    <t>Created from IPC Media acquisition (1987)</t>
  </si>
  <si>
    <t>M&amp;S Syndicate (ZANU-PF linked)</t>
  </si>
  <si>
    <t>Mass Media Trust connection</t>
  </si>
  <si>
    <t>UK Member of Parliament for Buckingham (1964</t>
  </si>
  <si>
    <t>1970)</t>
  </si>
  <si>
    <t>Crown Prince and Crown Princess's Foundation</t>
  </si>
  <si>
    <t>Co-founder (with Crown Prince Haakon; youth support projects in Norway)</t>
  </si>
  <si>
    <t>Maverick Collective</t>
  </si>
  <si>
    <t>Co-founder (with Kate Roberts of PSI; women's global health initiative, 2015)</t>
  </si>
  <si>
    <t>UNAIDS</t>
  </si>
  <si>
    <t>International Goodwill Ambassador (since 2006)</t>
  </si>
  <si>
    <t>Patron</t>
  </si>
  <si>
    <t>Patron of numerous Norwegian organizations including: Norwegian Library Association, Nynorsk Cultural Centre, Norwegian Council for Mental Health, Norwegian Guide and Scout Association, FOKUS (Forum for Women and Development), and many others</t>
  </si>
  <si>
    <t>Norwegian Royal Family</t>
  </si>
  <si>
    <t>Crown Princess of Norway (wife of Crown Prince Haakon)</t>
  </si>
  <si>
    <t>Co-founder (with Nicholas Negroponte)</t>
  </si>
  <si>
    <t>MIT Artificial Intelligence Laboratory</t>
  </si>
  <si>
    <t>Co-founder (with John McCarthy)</t>
  </si>
  <si>
    <t>Thinker Toys</t>
  </si>
  <si>
    <t>Author and concept developer</t>
  </si>
  <si>
    <t>DLA Piper</t>
  </si>
  <si>
    <t>Chairman of the Global Board / Chairman Emeritus</t>
  </si>
  <si>
    <t>The Walt Disney Company</t>
  </si>
  <si>
    <t>Former Chairman of the Board of Directors (2004–2007)</t>
  </si>
  <si>
    <t>U.S. Senate</t>
  </si>
  <si>
    <t>Former Senator from Maine (1980–1995); Senate Majority Leader (1989–1995)</t>
  </si>
  <si>
    <t>U.S. Special Envoy for Middle East Peace</t>
  </si>
  <si>
    <t>Appointed by President Obama</t>
  </si>
  <si>
    <t>Northern Ireland Peace Process</t>
  </si>
  <si>
    <t>Chairman of peace negotiations (Good Friday Agreement)</t>
  </si>
  <si>
    <t>Queen's University Belfast</t>
  </si>
  <si>
    <t>Former Chancellor (1999–2009)</t>
  </si>
  <si>
    <t>International Crisis Group</t>
  </si>
  <si>
    <t>Former Chairman</t>
  </si>
  <si>
    <t>ZeniMax Media</t>
  </si>
  <si>
    <t>Former Advisor</t>
  </si>
  <si>
    <t>Board memberships: FedEx, Xerox, Staples, Unilever, Starwood Hotels and Resorts, Boston Red Sox</t>
  </si>
  <si>
    <t>Former President, Economic Club of Washington</t>
  </si>
  <si>
    <t>Saudi Arabia</t>
  </si>
  <si>
    <t>Crown Prince and Prime Minister</t>
  </si>
  <si>
    <t>Misk Foundation (Mohammed bin Salman Foundation)</t>
  </si>
  <si>
    <t>Founder &amp; Chairman (non-profit for youth education and entrepreneurship, 2011)</t>
  </si>
  <si>
    <t>Mohammed Bin Salman Nonprofit City</t>
  </si>
  <si>
    <t>Founder (announced 2021, Riyadh)</t>
  </si>
  <si>
    <t>Misk Art Institute</t>
  </si>
  <si>
    <t>Founded under Misk Foundation (2017)</t>
  </si>
  <si>
    <t>Manga Productions</t>
  </si>
  <si>
    <t>Under Misk Foundation (animated content/video games)</t>
  </si>
  <si>
    <t>Misk International Schools</t>
  </si>
  <si>
    <t>Founded under Misk (2016)</t>
  </si>
  <si>
    <t>Public Investment Fund (PIF) of Saudi Arabia</t>
  </si>
  <si>
    <t>Chairman (sovereign wealth fund)</t>
  </si>
  <si>
    <t>NEOM</t>
  </si>
  <si>
    <t>Project sponsor (planned megacity)</t>
  </si>
  <si>
    <t>Saudi Vision 2030</t>
  </si>
  <si>
    <t>Architect and chief champion</t>
  </si>
  <si>
    <t>UK Royal Family</t>
  </si>
  <si>
    <t>Member; son of the late Queen Elizabeth II</t>
  </si>
  <si>
    <t>Prince Andrew Charitable Trust</t>
  </si>
  <si>
    <t>Founder (youth support; under investigation by Charity Commission)</t>
  </si>
  <si>
    <t>Duke of York's Community Initiative</t>
  </si>
  <si>
    <t>Involvement (formerly Yorkshire Foundation; dissolved 2023–2024)</t>
  </si>
  <si>
    <t>Inspiring Digital Enterprise Award (iDEA)</t>
  </si>
  <si>
    <t>Outward Bound Trust</t>
  </si>
  <si>
    <t>Former Patron and Former Chairman of Board of Trustees (resigned November 2019)</t>
  </si>
  <si>
    <t>UK Trade &amp; Investment</t>
  </si>
  <si>
    <t>Former UK Special Representative for International Trade and Investment (2001–2011)</t>
  </si>
  <si>
    <t>Former patron of: English National Ballet, Royal Philharmonic Orchestra, Middle East Association, Fight for Sight, TeenTech, Catalyst Inc., London Metropolitan University</t>
  </si>
  <si>
    <t>Zimbabwe</t>
  </si>
  <si>
    <t>President (1987–2017); Prime Minister (1980–1987)</t>
  </si>
  <si>
    <t>ZANU–PF (Zimbabwe African National Union – Patriotic Front)</t>
  </si>
  <si>
    <t>Founder/Leader and First Secretary (1980–2017)</t>
  </si>
  <si>
    <t>ZANU (Zimbabwe African National Union)</t>
  </si>
  <si>
    <t>Co-founder and President (from 1975)</t>
  </si>
  <si>
    <t>Organisation of African Unity</t>
  </si>
  <si>
    <t>Chairman (1997–1998)</t>
  </si>
  <si>
    <t>African Union</t>
  </si>
  <si>
    <t>Chairman (2015–2016)</t>
  </si>
  <si>
    <t>Chairman (1986–1989)</t>
  </si>
  <si>
    <t>Tesla, Inc.</t>
  </si>
  <si>
    <t>CEO and product architect (joined as early investor 2004; CEO since 2008)</t>
  </si>
  <si>
    <t>SpaceX</t>
  </si>
  <si>
    <t>Founder, CEO, and Chief Engineer (2002)</t>
  </si>
  <si>
    <t>X Corp (formerly Twitter)</t>
  </si>
  <si>
    <t>Owner (acquired 2022)</t>
  </si>
  <si>
    <t>xAI</t>
  </si>
  <si>
    <t>Founder (artificial intelligence company)</t>
  </si>
  <si>
    <t>The Boring Company</t>
  </si>
  <si>
    <t>Founder (tunnel infrastructure)</t>
  </si>
  <si>
    <t>Neuralink</t>
  </si>
  <si>
    <t>Co-founder (brain-computer interface)</t>
  </si>
  <si>
    <t>Starlink</t>
  </si>
  <si>
    <t>Division of SpaceX (satellite internet)</t>
  </si>
  <si>
    <t>Department of Government Efficiency (DOGE)</t>
  </si>
  <si>
    <t>Head (advisory role in Trump administration)</t>
  </si>
  <si>
    <t>Musk Foundation</t>
  </si>
  <si>
    <t>Chairman (philanthropic foundation)</t>
  </si>
  <si>
    <t>founder, Zip2 (sold to Compaq 1999) and X.com/PayPal (merged, sold to eBay 2002)</t>
  </si>
  <si>
    <t>Net worth nearing $850 billion as of February 2026</t>
  </si>
  <si>
    <t>The Kitchen Restaurant Group</t>
  </si>
  <si>
    <t>Co-founder &amp; Executive Chairman (farm-to-table restaurants)</t>
  </si>
  <si>
    <t>Square Roots</t>
  </si>
  <si>
    <t>Co-founder &amp; Executive Chairman (urban indoor farming)</t>
  </si>
  <si>
    <t>Big Green</t>
  </si>
  <si>
    <t>Co-founder (nonprofit; learning gardens in schools)</t>
  </si>
  <si>
    <t>Board Member (since 2008)</t>
  </si>
  <si>
    <t>Board Member (2003–2025)</t>
  </si>
  <si>
    <t>Chipotle Mexican Grill</t>
  </si>
  <si>
    <t>Former Board Member (2013–2019)</t>
  </si>
  <si>
    <t>founder, Zip2 (with Elon Musk; sold 1999)</t>
  </si>
  <si>
    <t>Major shareholder in Tesla</t>
  </si>
  <si>
    <t>Mirabai Films</t>
  </si>
  <si>
    <t>Founder (production company)</t>
  </si>
  <si>
    <t>Salaam Baalak Trust</t>
  </si>
  <si>
    <t>Founder (1988/1998; nonprofit for street children in India)</t>
  </si>
  <si>
    <t>Maisha Film Lab</t>
  </si>
  <si>
    <t>Founder (2004/2005; nonprofit training program for East African filmmakers, Kampala, Uganda)</t>
  </si>
  <si>
    <t>Appeared on reality TV series *Ladies of London*</t>
  </si>
  <si>
    <t>Involved with Nelson Mandela Children's Fund</t>
  </si>
  <si>
    <t>Participated in Naomi Campbell's Fashion for Relief fundraisers</t>
  </si>
  <si>
    <t>Poetry in America</t>
  </si>
  <si>
    <t>Founder, Director &amp; Host (PBS series and educational initiative)</t>
  </si>
  <si>
    <t>Verse Video Education</t>
  </si>
  <si>
    <t>Founder (nonprofit producing educational media)</t>
  </si>
  <si>
    <t>Arizona State University</t>
  </si>
  <si>
    <t>Former Director, Educational Media Innovation Studio (2019–2025; fired over Epstein ties)</t>
  </si>
  <si>
    <t>Harvard University</t>
  </si>
  <si>
    <t>Former Powell M. Cabot Professor of American Literature (1999–2019)</t>
  </si>
  <si>
    <t>Biomatics Capital Partners</t>
  </si>
  <si>
    <t>Co-founder &amp; Managing Director (healthcare/life sciences venture firm; $200M debut fund)</t>
  </si>
  <si>
    <t>Former Chief Advisor for Science and Technology to Bill Gates</t>
  </si>
  <si>
    <t>Advisor to Gates' bgc3 (Catalyst 3) and the Bill and Melinda Gates Foundation</t>
  </si>
  <si>
    <t>Led investments in: Editas Medicine, Twist Biosciences, Grail, Denali Therapeutics, AiCure, ResearchGate</t>
  </si>
  <si>
    <t>Professor of Mathematics and Biology</t>
  </si>
  <si>
    <t>Program for Evolutionary Dynamics (Harvard)</t>
  </si>
  <si>
    <t>Founder &amp; Former Director (2003–2020; program closed due to Epstein ties)</t>
  </si>
  <si>
    <t>Former researcher at the Institute for Advanced Study (Princeton)</t>
  </si>
  <si>
    <t>Headed first program in theoretical biology</t>
  </si>
  <si>
    <t>Serpentine Galleries (London)</t>
  </si>
  <si>
    <t>Artistic Director (since 2006)</t>
  </si>
  <si>
    <t>LUMA Arles</t>
  </si>
  <si>
    <t>Senior Adviser</t>
  </si>
  <si>
    <t>The Shed (New York)</t>
  </si>
  <si>
    <t>Artistic Adviser (since 2018)</t>
  </si>
  <si>
    <t>Garage Museum of Contemporary Art (Moscow)</t>
  </si>
  <si>
    <t>International Programs Advisor (since 2018)</t>
  </si>
  <si>
    <t>editor, *Cahiers d'Art* review</t>
  </si>
  <si>
    <t>Former Curator, Musée d'Art Moderne de la Ville de Paris</t>
  </si>
  <si>
    <t>Centers for Medicare and Medicaid Services (CMS)</t>
  </si>
  <si>
    <t>Nominated Administrator by President Trump</t>
  </si>
  <si>
    <t>The Dr. Oz Show</t>
  </si>
  <si>
    <t>Former host (syndicated TV show)</t>
  </si>
  <si>
    <t>Columbia University</t>
  </si>
  <si>
    <t>Former Vice Chairman and Professor of Surgery, Department of Surgery</t>
  </si>
  <si>
    <t>HealthCorps</t>
  </si>
  <si>
    <t>Co-founder (teen health education nonprofit)</t>
  </si>
  <si>
    <t>Significant investment holdings in: Inception Fertility, UnitedHealth Group, Nvidia, AbbVie, Walmart, Apple, and numerous other companies</t>
  </si>
  <si>
    <t>Colombia</t>
  </si>
  <si>
    <t>Former President (1998–2002)</t>
  </si>
  <si>
    <t>Centrist Democrat International (IDC)</t>
  </si>
  <si>
    <t>President (2015–present)</t>
  </si>
  <si>
    <t>New Democratic Force</t>
  </si>
  <si>
    <t>Founder (political movement, 1991)</t>
  </si>
  <si>
    <t>Hoy (television news program)</t>
  </si>
  <si>
    <t>Founder (1979)</t>
  </si>
  <si>
    <t>Guión Review</t>
  </si>
  <si>
    <t>Co-founder (1978)</t>
  </si>
  <si>
    <t>Club de Madrid</t>
  </si>
  <si>
    <t>Full Member</t>
  </si>
  <si>
    <t>Former Colombian Ambassador to the United States (2005</t>
  </si>
  <si>
    <t>2006)</t>
  </si>
  <si>
    <t>Architect of Plan Colombia</t>
  </si>
  <si>
    <t>None - Publicly available information supports only the claim that Serrano earns income as an independent artist through his practice and representation, and does not document any explicit ownership or profit‑beneficiary role in external organizations</t>
  </si>
  <si>
    <t>Contemporary African Art Collection (CAAC — The Pigozzi Collection)</t>
  </si>
  <si>
    <t>Founder (1989; world's largest private collection of contemporary African art, 10,000+ works)</t>
  </si>
  <si>
    <t>Japigozzi Collection</t>
  </si>
  <si>
    <t>Founder (contemporary Japanese art, 2006)</t>
  </si>
  <si>
    <t>Heir to the CEO of Simca (French automobile manufacturer, via his father Henri Pigozzi)</t>
  </si>
  <si>
    <t>Investor in high</t>
  </si>
  <si>
    <t>tech companies</t>
  </si>
  <si>
    <t>Photographer, fashion designer, and philanthropist</t>
  </si>
  <si>
    <t>Johnstone Family Professor of Psychology (since 2003)</t>
  </si>
  <si>
    <t>Former Director, Center for Cognitive Neuroscience, MIT (1994</t>
  </si>
  <si>
    <t>1999)</t>
  </si>
  <si>
    <t>Former Co</t>
  </si>
  <si>
    <t>Director, Center for Cognitive Science, MIT (1985–1994)</t>
  </si>
  <si>
    <t>Member, American Academy of Arts and Sciences</t>
  </si>
  <si>
    <t>Author of multiple bestselling books on language, cognition, and human nature</t>
  </si>
  <si>
    <t>MSD Capital LP</t>
  </si>
  <si>
    <t>Co-founder &amp; Chairman Emeritus (private investment firm for Michael Dell, founded 1998)</t>
  </si>
  <si>
    <t>MSD Partners LP</t>
  </si>
  <si>
    <t>Co-founder (SEC-registered investment advisor, 2009)</t>
  </si>
  <si>
    <t>MSD Acquisition Corp.</t>
  </si>
  <si>
    <t>DFO Management (Private Equity)</t>
  </si>
  <si>
    <t>Co-founder (1997)</t>
  </si>
  <si>
    <t>Rugger Management LLC</t>
  </si>
  <si>
    <t>Co-founder &amp; Chairman (private investment firm)</t>
  </si>
  <si>
    <t>Board memberships: Whitney Museum of American Art, Aspen Art Museum (Chairman), Cold Spring Harbor Laboratory, Spirit of America, Third Option Foundation, Harvard Business School Board of Dean's Advisors, LSE North American Advisory Board</t>
  </si>
  <si>
    <t>U.S. House of Representatives</t>
  </si>
  <si>
    <t>Delegate from the U.S. Virgin Islands (since 2015)</t>
  </si>
  <si>
    <t>Member of: House Permanent Select Committee on Intelligence, Ways and Means Committee, Budget Committee</t>
  </si>
  <si>
    <t>Former General Counsel, Virgin Islands Economic Development Authority (2007</t>
  </si>
  <si>
    <t>2014)</t>
  </si>
  <si>
    <t>Former Deputy General Counsel, UnitedHealth Group</t>
  </si>
  <si>
    <t>Former Senior Counsel, U.S. Department of Justice</t>
  </si>
  <si>
    <t>4chan</t>
  </si>
  <si>
    <t>Founder (2003; sold to Hiroyuki Nishimura in 2015)</t>
  </si>
  <si>
    <t>DrawQuest</t>
  </si>
  <si>
    <t>Founder (mobile drawing app; shut down 2014)</t>
  </si>
  <si>
    <t>Former employee (2016–2021; worked on Google Photos, Maps, and startup incubator Area 120)</t>
  </si>
  <si>
    <t>PSP Partners</t>
  </si>
  <si>
    <t>Founder &amp; Chairman (private investment firm, 2011)</t>
  </si>
  <si>
    <t>PSP Capital</t>
  </si>
  <si>
    <t>Founder (buyout fund within PSP Partners)</t>
  </si>
  <si>
    <t>PSP Growth</t>
  </si>
  <si>
    <t>Pritzker Realty Group</t>
  </si>
  <si>
    <t>Founder (1991; real estate investment)</t>
  </si>
  <si>
    <t>Vi Senior Living</t>
  </si>
  <si>
    <t>Founder (1987; formerly Classic Residence by Hyatt)</t>
  </si>
  <si>
    <t>The Parking Spot</t>
  </si>
  <si>
    <t>Co-founder (1998)</t>
  </si>
  <si>
    <t>Artemis Real Estate Partners</t>
  </si>
  <si>
    <t>Inspired Capital Partners</t>
  </si>
  <si>
    <t>Former Secretary of Commerce (2013–2017, Obama administration)</t>
  </si>
  <si>
    <t>Board memberships: Microsoft Corporation, Icertis, DEPT</t>
  </si>
  <si>
    <t>Former board memberships: Hyatt Hotels Corp., TransUnion, Marmon Group, Wm. Wrigley Jr. Co., LaSalle Bank</t>
  </si>
  <si>
    <t>The Pritzker Organization (TPO)</t>
  </si>
  <si>
    <t>Chairman &amp; CEO (family merchant bank)</t>
  </si>
  <si>
    <t>Hyatt Hotels Corporation</t>
  </si>
  <si>
    <t>Former Executive Chairman (resigned February 16, 2026, over Epstein ties)</t>
  </si>
  <si>
    <t>Triton (Container Leasing)</t>
  </si>
  <si>
    <t>Bay City Capital</t>
  </si>
  <si>
    <t>Founder (venture biotech/pharma)</t>
  </si>
  <si>
    <t>North America Western Asia Holdings LLC (NAWAH)</t>
  </si>
  <si>
    <t>Founder &amp; Chairman (Iraq-focused investment)</t>
  </si>
  <si>
    <t>Former Director: Royal Caribbean Cruises (until 2020), TransUnion (until 2010)</t>
  </si>
  <si>
    <t>Government of India</t>
  </si>
  <si>
    <t>Union Minister of Petroleum and Natural Gas; Minister of Housing and Urban Affairs (since 2021)</t>
  </si>
  <si>
    <t>Bharatiya Janata Party (BJP)</t>
  </si>
  <si>
    <t>Member (since 2014)</t>
  </si>
  <si>
    <t>Rajya Sabha (Indian Parliament)</t>
  </si>
  <si>
    <t>Member from Uttar Pradesh (since 2020)</t>
  </si>
  <si>
    <t>Former Indian Permanent Representative to the United Nations (2009</t>
  </si>
  <si>
    <t>2013)</t>
  </si>
  <si>
    <t>Former Indian Ambassador to Brazil (2006</t>
  </si>
  <si>
    <t>2008)</t>
  </si>
  <si>
    <t>Former Indian Deputy Ambassador to the United Kingdom (1999</t>
  </si>
  <si>
    <t>2002)</t>
  </si>
  <si>
    <t>Retired Indian Foreign Service (IFS) officer (1974 batch)</t>
  </si>
  <si>
    <t>Heir Wave Music Group</t>
  </si>
  <si>
    <t>Founder (record label, 2020)</t>
  </si>
  <si>
    <t>GOOD Music</t>
  </si>
  <si>
    <t>Former President (Kanye West's label; departed 2022)</t>
  </si>
  <si>
    <t>Re-Up Records</t>
  </si>
  <si>
    <t>Co-founder (with No Malice, Ab-Liva, and Sandman, 2004)</t>
  </si>
  <si>
    <t>Caring Hands Medical Transportation</t>
  </si>
  <si>
    <t>Investor (medical transport company)</t>
  </si>
  <si>
    <t>Clipse</t>
  </si>
  <si>
    <t>Co-founder (rap duo with brother No Malice)</t>
  </si>
  <si>
    <t>President (2000–2008, 2012–present); Prime Minister (2008–2012)</t>
  </si>
  <si>
    <t>United Russia</t>
  </si>
  <si>
    <t>Associated political party</t>
  </si>
  <si>
    <t>All-Russia People's Front</t>
  </si>
  <si>
    <t>Head (since 2013)</t>
  </si>
  <si>
    <t>Federal Security Service (FSB)</t>
  </si>
  <si>
    <t>Former Director (1998–1999)</t>
  </si>
  <si>
    <t>Security Council of Russia</t>
  </si>
  <si>
    <t>Former Secretary (1999)</t>
  </si>
  <si>
    <t>Oversaw consolidation of state control over major Russian enterprises including Gazprom, Rosneft, and other state corporations</t>
  </si>
  <si>
    <t>Former Owner/Head (Paris modeling agency; from late 1970s)</t>
  </si>
  <si>
    <t>Founder (modeling agency, New York/Miami/Tel Aviv; financed by Epstein, 2005; dissolved 2019)</t>
  </si>
  <si>
    <t>Next Management Corporation / Next Management Company</t>
  </si>
  <si>
    <t>Co-founder (1988–1989; global modeling agency; with brother Arnaud and Faith Kates)</t>
  </si>
  <si>
    <t>Karin Models of America</t>
  </si>
  <si>
    <t>Founder (1995; predecessor to MC2)</t>
  </si>
  <si>
    <t>International orchestral conductor and composer</t>
  </si>
  <si>
    <t>Former Music Director</t>
  </si>
  <si>
    <t>Manila Symphony Orchestra</t>
  </si>
  <si>
    <t>Opéra national du Rhin</t>
  </si>
  <si>
    <t>Sornay, LLC</t>
  </si>
  <si>
    <t>Founder, Chairman &amp; CEO (strategic advisory firm, since January 2021)</t>
  </si>
  <si>
    <t>Kissinger Associates, Inc.</t>
  </si>
  <si>
    <t>Former Vice Chairman &amp; Co-CEO (2011–2020); Former Managing Director (2006–2011)</t>
  </si>
  <si>
    <t>FedEx Corporation</t>
  </si>
  <si>
    <t>Board of Directors (since 2011; Audit &amp; Finance Committee, Cyber &amp; Technology Oversight Committee)</t>
  </si>
  <si>
    <t>Starbucks Corporation</t>
  </si>
  <si>
    <t>Former Board of Directors</t>
  </si>
  <si>
    <t>founder, U.S.–China Young Leaders Forum</t>
  </si>
  <si>
    <t>Member: Council on Foreign Relations, World Economic Forum Young Global Leaders</t>
  </si>
  <si>
    <t>Frank B. Baird, Jr. Professor of Science, Department of Physics (since 2001)</t>
  </si>
  <si>
    <t>Member: National Academy of Sciences, American Philosophical Society, American Academy of Arts and Sciences</t>
  </si>
  <si>
    <t>Former professor at MIT and Princeton University</t>
  </si>
  <si>
    <t>RatPac Entertainment</t>
  </si>
  <si>
    <t>Co-founder &amp; CEO (with James Packer, 2012; co-financed 81+ films with Warner Bros.)</t>
  </si>
  <si>
    <t>RatPac–Dune Entertainment</t>
  </si>
  <si>
    <t>Co-financing venture with Warner Bros. (75 films, 2013–2018; ties severed after misconduct allegations)</t>
  </si>
  <si>
    <t>Relativity Studios</t>
  </si>
  <si>
    <t>Former Chairman (via Trigger Street acquisition deal in 2016; Relativity went through bankruptcy)</t>
  </si>
  <si>
    <t>Rat Entertainment</t>
  </si>
  <si>
    <t>Founder (earlier production company)</t>
  </si>
  <si>
    <t>Founder, Hilhaven Lodge (whiskey brand, in partnership with DeLeón Tequila/Diageo)</t>
  </si>
  <si>
    <t>International Peace Institute (IPI)</t>
  </si>
  <si>
    <t>Former President (2005–2020; resigned over Epstein ties)</t>
  </si>
  <si>
    <t>Fafo Institute for Applied Social Science</t>
  </si>
  <si>
    <t>Founder &amp; Former Director (Oslo, 1982–1993)</t>
  </si>
  <si>
    <t>United Nations</t>
  </si>
  <si>
    <t>Multiple senior roles: UN Special Coordinator for the Middle East Peace Process; Personal Representative of the UN Secretary-General to the PLO/PA (Under-Secretary-General rank, 1999–2004); Special Envoy for Lebanon/Syria (UNSCR 1559)</t>
  </si>
  <si>
    <t>Government of Norway</t>
  </si>
  <si>
    <t>Former Deputy Prime Minister and Minister for Planning and Cooperation</t>
  </si>
  <si>
    <t>Key architect of the Oslo Accords</t>
  </si>
  <si>
    <t>Carphone Warehouse (now Currys)</t>
  </si>
  <si>
    <t>Co-founder; Former Finance Director, COO, and Deputy Chairman</t>
  </si>
  <si>
    <t>Kandahar Real Estate Ltd</t>
  </si>
  <si>
    <t>Founder (joint venture with Morgan Stanley)</t>
  </si>
  <si>
    <t>David Ross Foundation</t>
  </si>
  <si>
    <t>Founder (education charity, 2006)</t>
  </si>
  <si>
    <t>David Ross Education Trust</t>
  </si>
  <si>
    <t>Founder (academy chain in England)</t>
  </si>
  <si>
    <t>New Schools Network</t>
  </si>
  <si>
    <t>National Express</t>
  </si>
  <si>
    <t>Former Chairman (2001–2008)</t>
  </si>
  <si>
    <t>Former board roles: Trinity Mirror, Big Yellow Storage, Frontiers Capital</t>
  </si>
  <si>
    <t>Grimsby Town FC</t>
  </si>
  <si>
    <t>Edmond de Rothschild Group</t>
  </si>
  <si>
    <t>CEO (since March 2023); previously President of the Executive Committee (since 2015) and Chairman of the Board</t>
  </si>
  <si>
    <t>Edmond de Rothschild Heritage</t>
  </si>
  <si>
    <t>Creator/Overseer (consolidated the family's wine, hotel, farm, and lifestyle assets under this brand, 2016)</t>
  </si>
  <si>
    <t>Edmond de Rothschild Foundations</t>
  </si>
  <si>
    <t>Creator (2005; five fields: art/culture, health/research, philanthropy, cultural dialogue, social entrepreneurship)</t>
  </si>
  <si>
    <t>Gitana Team</t>
  </si>
  <si>
    <t>Co-founder (offshore yacht racing team, 2000)</t>
  </si>
  <si>
    <t>Majority controller of the Edmond de Rothschild Group via her four daughters' voting rights (since 2021)</t>
  </si>
  <si>
    <t>The group manages CHF 184 billion in assets across 29 sites in 14 countries</t>
  </si>
  <si>
    <t>E.L. Rothschild LLC</t>
  </si>
  <si>
    <t>Founder &amp; CEO (family investment holding company, since 2003; investments in media, asset management, real estate, agriculture)</t>
  </si>
  <si>
    <t>Council for Inclusive Capitalism</t>
  </si>
  <si>
    <t>Founder &amp; CEO (global non-profit)</t>
  </si>
  <si>
    <t>Inclusive Capital Partners</t>
  </si>
  <si>
    <t>Founding &amp; Managing Partner</t>
  </si>
  <si>
    <t>Coalition for Inclusive Capitalism</t>
  </si>
  <si>
    <t>FirstMark Communications Inc.</t>
  </si>
  <si>
    <t>Founder (broadband wireless company, sold in 2000 in $1 billion financing)</t>
  </si>
  <si>
    <t>TPI Communications International, Inc.</t>
  </si>
  <si>
    <t>Former majority shareholder, Chairman &amp; CEO (with Motorola, 1989–1995)</t>
  </si>
  <si>
    <t>Board memberships: The Estée Lauder Companies (since 2000), The Economist Group (since 2002), McCain Institute</t>
  </si>
  <si>
    <t>Holdings include stakes in: The Economist Group, Bronfman/E.L. Rothschild (wealth management)</t>
  </si>
  <si>
    <t>Former board roles: Gulfstream, General Instruments</t>
  </si>
  <si>
    <t>Co-founder, CEO &amp; Chair of the Board (co-founded 1990 with Leon Black and Josh Harris; CEO since March 2021)</t>
  </si>
  <si>
    <t>Athene Holding Ltd.</t>
  </si>
  <si>
    <t>Wharton School, University of Pennsylvania</t>
  </si>
  <si>
    <t>Chair, Board of Advisors</t>
  </si>
  <si>
    <t>funder, Penn Wharton Budget Model (nonpartisan public policy research)</t>
  </si>
  <si>
    <t>Net worth estimated at $8.8 billion (as of November 2024)</t>
  </si>
  <si>
    <t>Asia Society</t>
  </si>
  <si>
    <t>Incoming President &amp; CEO (returning March 31, 2026; previously served as President &amp; CEO 2021–2023)</t>
  </si>
  <si>
    <t>Asia Society Policy Institute (ASPI)</t>
  </si>
  <si>
    <t>Founding President (2015–2023); established its Center for China Analysis (2022)</t>
  </si>
  <si>
    <t>Australian Government</t>
  </si>
  <si>
    <t>Former 26th Prime Minister of Australia (2007–2010, 2013); Former Minister for Foreign Affairs (2010–2012); Current Ambassador to the United States (2023–2026)</t>
  </si>
  <si>
    <t>National Apology Foundation (Australia)</t>
  </si>
  <si>
    <t>Founder &amp; Co-Chair</t>
  </si>
  <si>
    <t>Honorary positions: Atlantic Council, CSIS, Paulson Institute, Bloomberg New Economy Forum, Sciences Po Paris</t>
  </si>
  <si>
    <t>Goldman Sachs</t>
  </si>
  <si>
    <t>Former Chief Legal Officer &amp; General Counsel (2020–February 2026; resigned over Epstein ties); Partner; Chair of Firmwide Conduct Committee</t>
  </si>
  <si>
    <t>Latham &amp; Watkins LLP</t>
  </si>
  <si>
    <t>Former Global Chair, White Collar Defense and Investigations Practice</t>
  </si>
  <si>
    <t>Former Counsel to President Barack Obama (longest-serving)</t>
  </si>
  <si>
    <t>U.S. Department of Justice</t>
  </si>
  <si>
    <t>Former Principal Associate Deputy Attorney General; Former Deputy Director of the Enron Task Force</t>
  </si>
  <si>
    <t>FINRA</t>
  </si>
  <si>
    <t>Former Board of Governors member (since 2021)</t>
  </si>
  <si>
    <t>David I. Schoen, Attorney at Law</t>
  </si>
  <si>
    <t>Founder (civil rights and criminal defense law practice, Montgomery, Alabama)</t>
  </si>
  <si>
    <t>Lead defense attorney for President Donald Trump during his second impeachment trial (February 2021)</t>
  </si>
  <si>
    <t>Former Fellow, California Institute of Technology</t>
  </si>
  <si>
    <t>Founded the Southern California Skeptics (later merged into the Skeptics Society)</t>
  </si>
  <si>
    <t>Peggy Siegal Company</t>
  </si>
  <si>
    <t>Founder &amp; President (New York–based PR firm specializing in film premieres and entertainment events)</t>
  </si>
  <si>
    <t>No other known major organizational connections</t>
  </si>
  <si>
    <t>Swedish Royal Family</t>
  </si>
  <si>
    <t>Member (wife of Prince Carl Philip of Sweden)</t>
  </si>
  <si>
    <t>Project Playground</t>
  </si>
  <si>
    <t>Co-founder (non-profit supporting vulnerable children in South Africa and Sweden)</t>
  </si>
  <si>
    <t>Patron of Sophiahemmet (Stockholm hospital and nursing college)</t>
  </si>
  <si>
    <t>Former board member: Dalarna University</t>
  </si>
  <si>
    <t>Ambassador for: Swedish Dyslexia Association</t>
  </si>
  <si>
    <t>Trigger Street Productions</t>
  </si>
  <si>
    <t>Founder (entertainment production company, 1997; later acquired by Relativity Media in 2016)</t>
  </si>
  <si>
    <t>The Old Vic Theatre</t>
  </si>
  <si>
    <t>Former Artistic Director (London, 2004–2015)</t>
  </si>
  <si>
    <t>Former Chairman (2016)</t>
  </si>
  <si>
    <t>Kevin Spacey Foundation</t>
  </si>
  <si>
    <t>Former Founder (closed amid misconduct allegations)</t>
  </si>
  <si>
    <t>Barclays PLC</t>
  </si>
  <si>
    <t>Former Group CEO (2015–2021; resigned amid investigation into Epstein relationship)</t>
  </si>
  <si>
    <t>JPMorgan Chase</t>
  </si>
  <si>
    <t>Former Head of Private Banking; Former CEO of Investment Bank</t>
  </si>
  <si>
    <t>BlueMountain Capital Management</t>
  </si>
  <si>
    <t>Former Senior Advisor</t>
  </si>
  <si>
    <t>Bromley Trust</t>
  </si>
  <si>
    <t>Trustee</t>
  </si>
  <si>
    <t>Office of the Independent Counsel</t>
  </si>
  <si>
    <t>Independent Counsel (Whitewater/Lewinsky investigation, 1994–1999)</t>
  </si>
  <si>
    <t>Baylor University</t>
  </si>
  <si>
    <t>Former President (2010–2016) and Chancellor (removed over campus sexual assault scandal)</t>
  </si>
  <si>
    <t>Kirkland &amp; Ellis</t>
  </si>
  <si>
    <t>Former Partner (appellate litigation)</t>
  </si>
  <si>
    <t>U.S. Court of Appeals for the D.C. Circuit</t>
  </si>
  <si>
    <t>Former Judge (1983–1989)</t>
  </si>
  <si>
    <t>U.S. Solicitor General</t>
  </si>
  <si>
    <t>Former Solicitor General (1989–1993; argued 25 cases before the Supreme Court)</t>
  </si>
  <si>
    <t>National Basketball Association (NBA)</t>
  </si>
  <si>
    <t>Former Commissioner (1984–2014)</t>
  </si>
  <si>
    <t>NBA Properties</t>
  </si>
  <si>
    <t>Overseer during tenure</t>
  </si>
  <si>
    <t>Columbia Law School</t>
  </si>
  <si>
    <t>Previously a partner at Proskauer Rose (law firm)</t>
  </si>
  <si>
    <t>DP World</t>
  </si>
  <si>
    <t>Former Group Chairman &amp; CEO (resigned February 2026 over Epstein ties)</t>
  </si>
  <si>
    <t>Ports, Customs &amp; Free Zone Corporation (PCFC)</t>
  </si>
  <si>
    <t>Nakheel</t>
  </si>
  <si>
    <t>Founder (real estate developer; The Palm Islands, Dubai)</t>
  </si>
  <si>
    <t>Dubai Multi Commodities Centre (DMCC)</t>
  </si>
  <si>
    <t>Founding Chairman (commodities exchange)</t>
  </si>
  <si>
    <t>P&amp;O Group</t>
  </si>
  <si>
    <t>Led DP World's $6.8 billion acquisition in 2006</t>
  </si>
  <si>
    <t>Under his leadership, DP World operated in 83 countries with 119,000+ employees, handling ~10% of global container trade</t>
  </si>
  <si>
    <t>Charles W. Eliot University Professor (current tenured position); Former 27th President of Harvard University (2001–2006)</t>
  </si>
  <si>
    <t>D.E. Shaw &amp; Co.</t>
  </si>
  <si>
    <t>Former Part-time Managing Director (2006–2009; returned as advisor post-NEC)</t>
  </si>
  <si>
    <t>White House National Economic Council</t>
  </si>
  <si>
    <t>Former Director (2009–2010, under President Obama)</t>
  </si>
  <si>
    <t>U.S. Department of the Treasury</t>
  </si>
  <si>
    <t>Former Secretary of the Treasury (1999–2001, under President Clinton); Former Deputy Secretary (1995–1999)</t>
  </si>
  <si>
    <t>World Bank</t>
  </si>
  <si>
    <t>Former Chief Economist (1991–1993)</t>
  </si>
  <si>
    <t>Former board roles: Square (Block) (since 2011), Andreessen Horowitz (special adviser), LendingClub, NASDAQ OMX Group</t>
  </si>
  <si>
    <t>Paid advisory roles with Citigroup, Goldman Sachs</t>
  </si>
  <si>
    <t>Shanghai Tang</t>
  </si>
  <si>
    <t>Founder (luxury fashion brand, Hong Kong, 1994; sold to Richemont)</t>
  </si>
  <si>
    <t>China Tang</t>
  </si>
  <si>
    <t>Founder (restaurant at The Dorchester, London)</t>
  </si>
  <si>
    <t>iClub Hotels</t>
  </si>
  <si>
    <t>Founder (hotel chain, Hong Kong)</t>
  </si>
  <si>
    <t>Tang Tang Tang Tang</t>
  </si>
  <si>
    <t>Founder (lifestyle brand)</t>
  </si>
  <si>
    <t>Patron of the arts and philanthropy in Hong Kong and London</t>
  </si>
  <si>
    <t>Princeton University</t>
  </si>
  <si>
    <t>Professor of Ecology and Evolutionary Biology</t>
  </si>
  <si>
    <t>Palantir Technologies</t>
  </si>
  <si>
    <t>Co-founder &amp; Chairman (since 2003)</t>
  </si>
  <si>
    <t>Founders Fund</t>
  </si>
  <si>
    <t>Co-founder &amp; Partner (venture capital, 2005)</t>
  </si>
  <si>
    <t>Thiel Capital</t>
  </si>
  <si>
    <t>Founder (family office/venture fund, 2011)</t>
  </si>
  <si>
    <t>Valar Ventures</t>
  </si>
  <si>
    <t>Co-founder (venture capital focused on international fintech, 2010; spun out of Thiel Capital)</t>
  </si>
  <si>
    <t>Mithril Capital Management</t>
  </si>
  <si>
    <t>Co-founder (growth-stage venture fund, 2012)</t>
  </si>
  <si>
    <t>Clarium Capital</t>
  </si>
  <si>
    <t>Founder (global macro hedge fund, San Francisco)</t>
  </si>
  <si>
    <t>Co-founder &amp; Former CEO (merged with X.com; sold to eBay 2002)</t>
  </si>
  <si>
    <t>Thiel Fellowship</t>
  </si>
  <si>
    <t>Founder ($100,000 grants to young entrepreneurs who skip college)</t>
  </si>
  <si>
    <t>Breakout Labs</t>
  </si>
  <si>
    <t>Founder (grants for early-stage science startups; spun out of Thiel Foundation)</t>
  </si>
  <si>
    <t>First outside investor in Facebook/Meta</t>
  </si>
  <si>
    <t>Early investor in Clearview AI (facial recognition, 2017)</t>
  </si>
  <si>
    <t>Involvement in incubating Valinor Enterprises (defense incubator, 2024)</t>
  </si>
  <si>
    <t>Former Private Secretary and Trustee</t>
  </si>
  <si>
    <t>Pitch@Palace</t>
  </si>
  <si>
    <t>Former CEO (Prince Andrew's entrepreneurship initiative; renamed the Entrepreneurs Network after Andrew's withdrawal)</t>
  </si>
  <si>
    <t>Former Private Secretary to Prince Andrew, Duke of York (2012</t>
  </si>
  <si>
    <t>2019)</t>
  </si>
  <si>
    <t>Mount Sinai Center for Transgender Medicine and Surgery</t>
  </si>
  <si>
    <t>Director (surgeon specializing in gender-affirming surgery, New York)</t>
  </si>
  <si>
    <t>New York Giants (NFL)</t>
  </si>
  <si>
    <t>Chairman, Executive Vice President &amp; Co-owner (50% family stake, inherited from father Preston Robert Tisch)</t>
  </si>
  <si>
    <t>Escape Artists Productions</t>
  </si>
  <si>
    <t>Partner (film production company)</t>
  </si>
  <si>
    <t>Tisch Family</t>
  </si>
  <si>
    <t>Part of the broader Tisch family that controls Loews Corporation (insurance, energy, packaging, hotels)</t>
  </si>
  <si>
    <t>Academy Award</t>
  </si>
  <si>
    <t>winning film producer (*Forrest Gump*, *American History X*, *Snatch*)</t>
  </si>
  <si>
    <t>Fédération Internationale de l'Automobile (FIA)</t>
  </si>
  <si>
    <t>Former President (2009–2021; now Honorary President)</t>
  </si>
  <si>
    <t>Ferrari S.p.A.</t>
  </si>
  <si>
    <t>Former CEO (2004–2008); Former General Manager of the Racing Division (1993–2004)</t>
  </si>
  <si>
    <t>Peugeot Talbot Sport</t>
  </si>
  <si>
    <t>Former Director (1982–1993)</t>
  </si>
  <si>
    <t>Special Envoy for Road Safety (since 2015)</t>
  </si>
  <si>
    <t>Brain Institute (ICM), Paris</t>
  </si>
  <si>
    <t>Founding Vice-President (since 2005)</t>
  </si>
  <si>
    <t>Suu Foundation</t>
  </si>
  <si>
    <t>President (since 2014)</t>
  </si>
  <si>
    <t>Board Member (since 2015)</t>
  </si>
  <si>
    <t>Harvard Medical School</t>
  </si>
  <si>
    <t>Former Faculty, Department of Neurology</t>
  </si>
  <si>
    <t>UC Irvine</t>
  </si>
  <si>
    <t>Faculty, Department of Neurology</t>
  </si>
  <si>
    <t>Rutgers University</t>
  </si>
  <si>
    <t>Professor of Anthropology and Biological Sciences (long tenure)</t>
  </si>
  <si>
    <t>45th &amp; 47th President (2017–2021, 2025–present)</t>
  </si>
  <si>
    <t>The Trump Organization</t>
  </si>
  <si>
    <t>Founder/Owner (privately held conglomerate with 500+ entities; real estate, hotels, golf courses, licensing)</t>
  </si>
  <si>
    <t>Trump Media &amp; Technology Group (TMTG)</t>
  </si>
  <si>
    <t>Majority owner (parent of Truth Social; publicly traded)</t>
  </si>
  <si>
    <t>Donald J. Trump Foundation</t>
  </si>
  <si>
    <t>Former Chairman (dissolved 2018 under court supervision)</t>
  </si>
  <si>
    <t>Previously held interests in: Trump Hotels &amp; Casino Resorts, Miss Universe Organization, Trump University (dissolved), Trump Entertainment Resorts</t>
  </si>
  <si>
    <t>Executive Vice President and Trustee (co-managing since 2017)</t>
  </si>
  <si>
    <t>Trump Media &amp; Technology Group</t>
  </si>
  <si>
    <t>1789 Capital</t>
  </si>
  <si>
    <t>Partner (venture capital firm investing in conservative companies)</t>
  </si>
  <si>
    <t>Board memberships (post</t>
  </si>
  <si>
    <t>2024 election): PublicSquare, GrabAGun, BlinkRx, Colombier Acquisition Corp., Dominari Holdings (advisory board)</t>
  </si>
  <si>
    <t>Eric Trump Foundation</t>
  </si>
  <si>
    <t>Founder (raised funds for St. Jude Children's Research Hospital; later renamed and restructured)</t>
  </si>
  <si>
    <t>Dominari Holdings</t>
  </si>
  <si>
    <t>Advisory Board member</t>
  </si>
  <si>
    <t>Trump Winery</t>
  </si>
  <si>
    <t>President (Charlottesville, Virginia)</t>
  </si>
  <si>
    <t>United States</t>
  </si>
  <si>
    <t>First Lady (2017–2021, 2025–present)</t>
  </si>
  <si>
    <t>Be Best</t>
  </si>
  <si>
    <t>Founder (children's well-being initiative during first term as First Lady)</t>
  </si>
  <si>
    <t>Melania Trump Brand</t>
  </si>
  <si>
    <t>Head (personal branding, including memoir *Melania* published 2024; fashion and jewelry licensing)</t>
  </si>
  <si>
    <t>Head of State LLC</t>
  </si>
  <si>
    <t>Founder (merchandising company)</t>
  </si>
  <si>
    <t>Johnsons Solicitors (Belfast)</t>
  </si>
  <si>
    <t>Senior Partner (media law)</t>
  </si>
  <si>
    <t>Red Bull Racing</t>
  </si>
  <si>
    <t>Former driver</t>
  </si>
  <si>
    <t>Government of Senegal</t>
  </si>
  <si>
    <t>Former Minister of State for International Cooperation, Air Transport, Infrastructure and Energy (under his father, President Abdoulaye Wade)</t>
  </si>
  <si>
    <t>Convicted of illicit enrichment in Senegal (2015); later pardoned (2016)</t>
  </si>
  <si>
    <t>Member of the Parti Démocratique Sénégalais (PDS)</t>
  </si>
  <si>
    <t>Selected as presidential candidate (2024)</t>
  </si>
  <si>
    <t>Michael Waltrip Racing (MWR)</t>
  </si>
  <si>
    <t>Founder &amp; Former Co-owner (NASCAR team, 2007–2015)</t>
  </si>
  <si>
    <t>Waltrip Unfiltered</t>
  </si>
  <si>
    <t>Founder (media/entertainment brand)</t>
  </si>
  <si>
    <t>Two</t>
  </si>
  <si>
    <t>time Daytona 500 winner; NASCAR broadcaster (Fox Sports)</t>
  </si>
  <si>
    <t>Wasserman (Wasserman Media Group)</t>
  </si>
  <si>
    <t>Founder, Chairman &amp; CEO (global sports, entertainment, and lifestyle marketing/management agency, 2002; announced sale February 2026 after Epstein-related fallout)</t>
  </si>
  <si>
    <t>LA28 (2028 Los Angeles Olympic Games)</t>
  </si>
  <si>
    <t>Chairman of the Organizing Committee</t>
  </si>
  <si>
    <t>Brillstein Entertainment Partners</t>
  </si>
  <si>
    <t>Acquired (2023; talent management)</t>
  </si>
  <si>
    <t>Formerly acquired Paradigm Music division (2021)</t>
  </si>
  <si>
    <t>Los Angeles Avengers</t>
  </si>
  <si>
    <t>Former Owner (Arena Football League team, 1998)</t>
  </si>
  <si>
    <t>Wasserman Foundation</t>
  </si>
  <si>
    <t>Major philanthropic donor</t>
  </si>
  <si>
    <t>Miramax Films</t>
  </si>
  <si>
    <t>Co-founder (with Bob Weinstein, 1979; sold to Disney in 1993 for $80 million)</t>
  </si>
  <si>
    <t>The Weinstein Company (TWC)</t>
  </si>
  <si>
    <t>Co-founder &amp; Former Co-Chairman (2005; company filed for bankruptcy and was acquired by Lantern Capital in 2018)</t>
  </si>
  <si>
    <t>Dimension Films</t>
  </si>
  <si>
    <t>Co-founder (genre film label within Miramax/TWC)</t>
  </si>
  <si>
    <t>Convicted of sex crimes; imprisoned</t>
  </si>
  <si>
    <t>L Brands (now Bath &amp; Body Works, Inc.)</t>
  </si>
  <si>
    <t>Founder (1963); Former Chairman &amp; CEO (stepped down as CEO in 2020; Chairman Emeritus)</t>
  </si>
  <si>
    <t>Brands under L Brands included: Victoria's Secret, Bath &amp; Body Works, Pink, Henri Bendel, The White Barn Candle Company, La Senza</t>
  </si>
  <si>
    <t>Previous brands spun off: Abercrombie &amp; Fitch, Express, Lane Bryant, The Limited, Lerner New York, The Limited Too</t>
  </si>
  <si>
    <t>The Wexner Foundation</t>
  </si>
  <si>
    <t>Founder (Jewish community leadership development)</t>
  </si>
  <si>
    <t>Wexner Center for the Arts (Ohio State University)</t>
  </si>
  <si>
    <t>Founding patron</t>
  </si>
  <si>
    <t>Wexner Medical Center (Ohio State University)</t>
  </si>
  <si>
    <t>Major benefactor</t>
  </si>
  <si>
    <t>New Albany Company</t>
  </si>
  <si>
    <t>Co-developer (New Albany, Ohio planned community)</t>
  </si>
  <si>
    <t>Epstein served as Wexner's financial manager; Wexner later said Epstein "misappropriated vast sums"</t>
  </si>
  <si>
    <t>Metabiota</t>
  </si>
  <si>
    <t>Founder &amp; Former CEO (pandemic risk analytics and disease surveillance company)</t>
  </si>
  <si>
    <t>Global Viral (now Labyrinth Global Health)</t>
  </si>
  <si>
    <t>Founder (non-profit infectious disease research institute)</t>
  </si>
  <si>
    <t>Stanford University</t>
  </si>
  <si>
    <t>Visiting Professor of Biology</t>
  </si>
  <si>
    <t>Member, DARPA Defense Science Research Council</t>
  </si>
  <si>
    <t>Board member, *EcoHealth* journal and *Scientific American*</t>
  </si>
  <si>
    <t>Newser</t>
  </si>
  <si>
    <t>Co-founder (news aggregation website, 2007)</t>
  </si>
  <si>
    <t>Michael Wolff &amp; Company, Inc.</t>
  </si>
  <si>
    <t>Founder (book-packaging/internet company, 1991; later collapsed)</t>
  </si>
  <si>
    <t>Wolff New Media</t>
  </si>
  <si>
    <t>Founder (internet startup; documented in *Burn Rate*)</t>
  </si>
  <si>
    <t>Author: *Fire and Fury* (2018), *Siege* (2019), *Landslide* (2021), *All or Nothing* (2025)</t>
  </si>
  <si>
    <t>Former columnist/editor: *Adweek*, *Vanity Fair*, *USA Today*, *The Hollywood Reporter*</t>
  </si>
  <si>
    <t>Meta Platforms, Inc. (formerly Facebook, Inc.)</t>
  </si>
  <si>
    <t>Founder, Chairman &amp; CEO (since 2004)</t>
  </si>
  <si>
    <t>Chan Zuckerberg Initiative (CZI)</t>
  </si>
  <si>
    <t>Co-founder &amp; Co-CEO (with wife Priscilla Chan, 2015; LLC focused on education, science, justice reform)</t>
  </si>
  <si>
    <t>Companies owned by Meta include: Facebook, Instagram (acquired 2012, $1B), WhatsApp (acquired 2014, $19B), Oculus VR / Reality Labs (acquired 2014, $2B), Threads (launched 2023), Giphy, Mapillary, Kustomer, CTRL-Labs, and many others</t>
  </si>
  <si>
    <t>Meta AI</t>
  </si>
  <si>
    <t>Division developing LLaMA and other AI models</t>
  </si>
  <si>
    <t>Owns approximately 12% of Meta stock</t>
  </si>
  <si>
    <t>South Africa</t>
  </si>
  <si>
    <t>Former President (2009–2018; recalled by ANC)</t>
  </si>
  <si>
    <t>African National Congress (ANC)</t>
  </si>
  <si>
    <t>Former President (2007–2017); Former Deputy President</t>
  </si>
  <si>
    <t>uMkhonto we Sizwe (MK) Party</t>
  </si>
  <si>
    <t>Founder/Leader (new political party formed 2023, named after the ANC's former armed wing)</t>
  </si>
  <si>
    <t>Jacob Zuma RDP Educational Trust Fund</t>
  </si>
  <si>
    <t>Founder (1998; has educated 20,000+ children)</t>
  </si>
  <si>
    <t>Moral Regeneration Movement</t>
  </si>
  <si>
    <t>Founder/Launcher</t>
  </si>
  <si>
    <t>Former Deputy President of South Africa (1999</t>
  </si>
  <si>
    <t>2005)</t>
  </si>
  <si>
    <t>Former Chairperson, South African National AIDS Council</t>
  </si>
  <si>
    <t>THE CONSUMER'S GUIDE TO THE EPSTEIN FILES</t>
  </si>
  <si>
    <t>If You Are _______, You May Want to Know _______</t>
  </si>
  <si>
    <t>What You Might Be Doing</t>
  </si>
  <si>
    <t>Connected Person</t>
  </si>
  <si>
    <t>Closeness</t>
  </si>
  <si>
    <t>⚠️</t>
  </si>
  <si>
    <t>Consequences?</t>
  </si>
  <si>
    <t>🖥️ EVERYDAY INTERNET &amp; TECH USER</t>
  </si>
  <si>
    <t>If you use the internet, social media, or common tech products, you are almost certainly sending money to people on this list. These connections are nearly impossible to avoid.</t>
  </si>
  <si>
    <t>Use Google, Gmail, YouTube, Android, Google Maps, Pixel, Fitbit, Nest, or Waymo</t>
  </si>
  <si>
    <t>⚠️ SUBTLE</t>
  </si>
  <si>
    <t>NO</t>
  </si>
  <si>
    <t>Use Facebook, Instagram, WhatsApp, Threads, or Meta Quest VR</t>
  </si>
  <si>
    <t>Use Windows, Office 365, Outlook, Bing, or GitHub</t>
  </si>
  <si>
    <t>YES</t>
  </si>
  <si>
    <t>Use LinkedIn or LinkedIn Premium</t>
  </si>
  <si>
    <t>Use X (Twitter) or the Grok AI chatbot</t>
  </si>
  <si>
    <t>Use Cash App or Square payment terminals</t>
  </si>
  <si>
    <t>Use PayPal</t>
  </si>
  <si>
    <t>Use Spotify, Airbnb, or Stripe (Founders Fund portfolio)</t>
  </si>
  <si>
    <t>Subscribe to Starlink satellite internet</t>
  </si>
  <si>
    <t>🛍️ RETAIL SHOPPER &amp; BEAUTY BUYER</t>
  </si>
  <si>
    <t>If you shop at malls, drugstores, or beauty counters, several major retail and beauty brands connect back to this list.</t>
  </si>
  <si>
    <t>Shop at Bath &amp; Body Works (1,800+ US stores)</t>
  </si>
  <si>
    <t>Buy Estée Lauder, Clinique, MAC, La Mer, Bobbi Brown, Tom Ford Beauty, Jo Malone, Too Faced, Aveda, or Origins</t>
  </si>
  <si>
    <t>Buy Estée Lauder brands (she sits on the board)</t>
  </si>
  <si>
    <t>Lynn de Rothschild</t>
  </si>
  <si>
    <t>Shop at Men's Wearhouse</t>
  </si>
  <si>
    <t>Shop at Walmart</t>
  </si>
  <si>
    <t>Bill Gates (via Cascade Investment)</t>
  </si>
  <si>
    <t>Buy Unilever products: Dove, Ben &amp; Jerry's, Hellmann's, etc.</t>
  </si>
  <si>
    <t>Shop at Staples</t>
  </si>
  <si>
    <t>Shop at Currys (UK electronics retailer)</t>
  </si>
  <si>
    <t>Shop at Shein (Global Counsel lobbying client)</t>
  </si>
  <si>
    <t>Shop on PublicSquare marketplace app</t>
  </si>
  <si>
    <t>Buy Chopra wellness products, books, or app</t>
  </si>
  <si>
    <t>Buy a Tesla vehicle or Tesla solar/Powerwall</t>
  </si>
  <si>
    <t>🏟️ SPORTS FAN</t>
  </si>
  <si>
    <t>Buying tickets, merchandise, or watching broadcasts for many major professional sports teams sends money toward people connected to the Epstein files.</t>
  </si>
  <si>
    <t>Buy NY Giants tickets, merchandise, or TV packages</t>
  </si>
  <si>
    <t>Buy Washington Commanders tickets or merchandise</t>
  </si>
  <si>
    <t>Buy Philadelphia 76ers tickets or merchandise</t>
  </si>
  <si>
    <t>Buy New Jersey Devils tickets or merchandise</t>
  </si>
  <si>
    <t>Buy Chelsea FC tickets, merchandise, or streaming</t>
  </si>
  <si>
    <t>Buy Crystal Palace FC tickets or merchandise</t>
  </si>
  <si>
    <t>Buy LA Dodgers tickets or merchandise</t>
  </si>
  <si>
    <t>Follow Joe Gibbs Racing / buy NASCAR merchandise</t>
  </si>
  <si>
    <t>Watch NASCAR on Fox Sports (Waltrip broadcasting)</t>
  </si>
  <si>
    <t>Buy Grimsby Town FC tickets (UK)</t>
  </si>
  <si>
    <t>Attend 2028 LA Olympics events</t>
  </si>
  <si>
    <t>Buy tickets/merch for athletes managed by Wasserman agency</t>
  </si>
  <si>
    <t>🎬 ENTERTAINMENT, MEDIA &amp; NEWS CONSUMER</t>
  </si>
  <si>
    <t>Subscriptions, streaming, books, and news outlets you use every day may have connections to people on this list.</t>
  </si>
  <si>
    <t>Watch A24 films in theaters or streaming</t>
  </si>
  <si>
    <t>Read Rolling Stone, Variety, Billboard, or Hollywood Reporter</t>
  </si>
  <si>
    <t>Watch Dick Clark Productions content (New Year's Rockin' Eve)</t>
  </si>
  <si>
    <t>Subscribe to the New York Times</t>
  </si>
  <si>
    <t>Subscribe to The Atlantic</t>
  </si>
  <si>
    <t>Subscribe to The Economist</t>
  </si>
  <si>
    <t>Subscribe to Wall Street Journal, NY Post, Fox News, or buy HarperCollins books</t>
  </si>
  <si>
    <t>José María Aznar (News Corp board)</t>
  </si>
  <si>
    <t>Read or visit Breitbart News</t>
  </si>
  <si>
    <t>Listen to War Room podcast</t>
  </si>
  <si>
    <t>Use Truth Social</t>
  </si>
  <si>
    <t>Stream Woody Allen films on any platform</t>
  </si>
  <si>
    <t>Buy books by Steven Pinker, Richard Dawkins, or other Brockman agency clients</t>
  </si>
  <si>
    <t>John Brockman (literary agent)</t>
  </si>
  <si>
    <t>Buy Noam Chomsky's books</t>
  </si>
  <si>
    <t>Buy Michael Wolff's books (Fire and Fury, etc.)</t>
  </si>
  <si>
    <t>Buy RFK Jr.'s books (The Real Anthony Fauci)</t>
  </si>
  <si>
    <t>Stream Jay-Z's music or attend his concerts</t>
  </si>
  <si>
    <t>Stream Pusha T's music</t>
  </si>
  <si>
    <t>Pusha T</t>
  </si>
  <si>
    <t>Buy David Copperfield tickets in Las Vegas</t>
  </si>
  <si>
    <t>Attend classical concerts conducted by Frédéric Chaslin</t>
  </si>
  <si>
    <t>Buy Sarah Ferguson's books or watch her TV appearances</t>
  </si>
  <si>
    <t>Sarah Ferguson</t>
  </si>
  <si>
    <t>✈️ TRAVELER &amp; HOSPITALITY CONSUMER</t>
  </si>
  <si>
    <t>Hotels, airlines, airport services, and shipping companies you use while traveling connect to people on this list.</t>
  </si>
  <si>
    <t>Stay at Hyatt Hotels (Pritzker family remains controlling shareholder)</t>
  </si>
  <si>
    <t>Stay at Trump Hotels (DC, Chicago, Las Vegas, Doral, etc.)</t>
  </si>
  <si>
    <t>Play at Trump golf courses (18+ worldwide)</t>
  </si>
  <si>
    <t>Fly Virgin Atlantic</t>
  </si>
  <si>
    <t>Book Virgin Hotels or Virgin Holidays</t>
  </si>
  <si>
    <t>Park at The Parking Spot (airport parking, ~40 US locations)</t>
  </si>
  <si>
    <t>Ship packages via FedEx</t>
  </si>
  <si>
    <t>George J. Mitchell / Joshua Cooper Ramo (board)</t>
  </si>
  <si>
    <t>Very High / Moderate</t>
  </si>
  <si>
    <t>MIXED</t>
  </si>
  <si>
    <t>Use Uber (PIF/Saudi sovereign wealth fund investment)</t>
  </si>
  <si>
    <t>Book Musha Cay resort in the Bahamas (~$50K/night)</t>
  </si>
  <si>
    <t>Visit Palm Jumeirah resorts in Dubai</t>
  </si>
  <si>
    <t>Buy Trump Winery wines (Charlottesville, VA)</t>
  </si>
  <si>
    <t>Rent a home from Colony Starwood Homes</t>
  </si>
  <si>
    <t>Stay at Vi Senior Living communities</t>
  </si>
  <si>
    <t>💊 HEALTH, WELLNESS &amp; INSURANCE CONSUMER</t>
  </si>
  <si>
    <t>Insurance apps, wellness products, medical facilities, and health-related subscriptions may connect to this list.</t>
  </si>
  <si>
    <t>Buy Lemonade insurance (renters, homeowners, pet, life)</t>
  </si>
  <si>
    <t>Use Goldman Sachs Marcus savings or Apple Card</t>
  </si>
  <si>
    <t>Kathryn Ruemmler (resigned Feb 2026)</t>
  </si>
  <si>
    <t>Buy Athene annuities or retirement products</t>
  </si>
  <si>
    <t>Marc Rowan / Apollo</t>
  </si>
  <si>
    <t>Subscribe to the Chopra meditation app or wellness retreats</t>
  </si>
  <si>
    <t>Subscribe to the Waking Up app ($99/yr)</t>
  </si>
  <si>
    <t>Subscribe to Peter Attia's Drive podcast premium</t>
  </si>
  <si>
    <t>Buy "Outlive" by Peter Attia</t>
  </si>
  <si>
    <t>Buy a Shapa smart scale</t>
  </si>
  <si>
    <t>Buy a Nebula Genomics DNA kit (~$299)</t>
  </si>
  <si>
    <t>Get a Galleri multi-cancer screening test (~$949)</t>
  </si>
  <si>
    <t>Boris Nikolic (investor)</t>
  </si>
  <si>
    <t>Donate to Mount Sinai Hospital</t>
  </si>
  <si>
    <t>Eva Andersson-Dubin / Brad S. Karp</t>
  </si>
  <si>
    <t>Very High / High</t>
  </si>
  <si>
    <t>Buy Dr. Oz–endorsed health products</t>
  </si>
  <si>
    <t>Buy CNA insurance products (Tisch family / Loews Corp)</t>
  </si>
  <si>
    <t>🍷 FOOD, DRINK &amp; DINING CONSUMER</t>
  </si>
  <si>
    <t>Spirits, wines, restaurants, and grocery products you buy may benefit people connected to the Epstein files.</t>
  </si>
  <si>
    <t>Drink D'Ussé cognac (Bacardi partnership)</t>
  </si>
  <si>
    <t>Buy Ace of Spades (Armand de Brignac) champagne</t>
  </si>
  <si>
    <t>Buy Hilhaven Lodge whiskey (Diageo partnership)</t>
  </si>
  <si>
    <t>Buy Edmond de Rothschild wines (Château Clarke, etc.)</t>
  </si>
  <si>
    <t>Buy Trump Winery wines</t>
  </si>
  <si>
    <t>Dine at The Kitchen restaurants (CO, Chicago, Indy, Memphis)</t>
  </si>
  <si>
    <t>Buy Square Roots indoor-farmed produce at grocery stores</t>
  </si>
  <si>
    <t>Dine at Billionaire restaurants (Italy, Saudi Arabia)</t>
  </si>
  <si>
    <t>Buy Coca-Cola Femsa beverages (Latin America)</t>
  </si>
  <si>
    <t>Bill Gates (via Cascade)</t>
  </si>
  <si>
    <t>Dine at China Tang at The Dorchester, London</t>
  </si>
  <si>
    <t>David Tang (estate)</t>
  </si>
  <si>
    <t>Buy Keeper Springs bottled water</t>
  </si>
  <si>
    <t>❤️ CHARITABLE DONOR &amp; NONPROFIT SUPPORTER</t>
  </si>
  <si>
    <t>Many prominent charities and cultural institutions are led by, or have board members connected to, people on this list. Your donations may flow through their organizations.</t>
  </si>
  <si>
    <t>Donate to the Clinton Foundation or Clinton Global Initiative</t>
  </si>
  <si>
    <t>Donate to the Bill &amp; Melinda Gates Foundation</t>
  </si>
  <si>
    <t>Donate to Robin Hood Foundation (major NYC anti-poverty charity)</t>
  </si>
  <si>
    <t>Glenn Dubin (founding board)</t>
  </si>
  <si>
    <t>Donate to FIRST Robotics (youth robotics in schools)</t>
  </si>
  <si>
    <t>Donate to Big Green (learning gardens in schools)</t>
  </si>
  <si>
    <t>Donate to Breast Cancer Alliance or Dubin Breast Center at Mount Sinai</t>
  </si>
  <si>
    <t>Donate to the Wexner Foundation</t>
  </si>
  <si>
    <t>Donate to One Drop Foundation (clean water access)</t>
  </si>
  <si>
    <t>Donate to Children's Health Defense</t>
  </si>
  <si>
    <t>Donate to Lincoln Center for the Performing Arts</t>
  </si>
  <si>
    <t>Brad S. Karp (board)</t>
  </si>
  <si>
    <t>Donate to the Whitney Museum of American Art</t>
  </si>
  <si>
    <t>Brad S. Karp / John Phelan (board)</t>
  </si>
  <si>
    <t>High / Low</t>
  </si>
  <si>
    <t>Donate to NY-Presbyterian Hospital or Mount Sinai</t>
  </si>
  <si>
    <t>Donate to Junior Achievement Worldwide</t>
  </si>
  <si>
    <t>Donate to Alzheimer's Drug Discovery Foundation</t>
  </si>
  <si>
    <t>Donate to Waterkeeper Alliance</t>
  </si>
  <si>
    <t>Donate to the Chopra Foundation</t>
  </si>
  <si>
    <t>Donate to Center for Inquiry (Richard Dawkins Foundation merged here)</t>
  </si>
  <si>
    <t>Donate to HealthCorps (teen health education)</t>
  </si>
  <si>
    <t>Pay Bard College tuition or attend Bard SummerScape</t>
  </si>
  <si>
    <t>Donate to Aspen Institute / Weave Project</t>
  </si>
  <si>
    <t>Donate to Heterodox Academy or Let Grow</t>
  </si>
  <si>
    <t>Donate to Project Playground (children in South Africa &amp; Sweden)</t>
  </si>
  <si>
    <t>Princess Sofia of Sweden</t>
  </si>
  <si>
    <t>Donate to Kiva (microfinance)</t>
  </si>
  <si>
    <t>Reid Hoffman (board)</t>
  </si>
  <si>
    <t>LEGEND</t>
  </si>
  <si>
    <t>You wouldn't know your money flows to this person — it's indirect or hidden</t>
  </si>
  <si>
    <t>Very High Closeness</t>
  </si>
  <si>
    <t>Deep, sustained personal/financial relationship with Epstein</t>
  </si>
  <si>
    <t>High Closeness</t>
  </si>
  <si>
    <t>Regular contact, meetings, or financial ties after Epstein's 2008 arrest</t>
  </si>
  <si>
    <t>Moderate Closeness</t>
  </si>
  <si>
    <t>Some contact or appeared in files with meaningful context</t>
  </si>
  <si>
    <t>Low Closeness</t>
  </si>
  <si>
    <t>Peripheral mention, single event, or minimal evidence of relationship</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</si>
</sst>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6.0"/>
      <color rgb="FFFFFFFF"/>
      <name val="Arial"/>
    </font>
    <font>
      <i/>
      <sz val="10.0"/>
      <color rgb="FFFFFFFF"/>
      <name val="Arial"/>
    </font>
    <font>
      <b/>
      <sz val="12.0"/>
      <color rgb="FFBF8F00"/>
      <name val="Arial"/>
    </font>
    <font>
      <b/>
      <sz val="13.0"/>
      <color rgb="FFFFFFFF"/>
      <name val="Arial"/>
    </font>
    <font>
      <sz val="11.0"/>
      <color rgb="FF333333"/>
      <name val="Arial"/>
    </font>
    <font>
      <u/>
      <sz val="11.0"/>
      <color rgb="FF333333"/>
      <name val="Arial"/>
    </font>
    <font>
      <b/>
      <sz val="11.0"/>
      <color rgb="FF1F4E79"/>
      <name val="Arial"/>
    </font>
    <font>
      <b/>
      <sz val="10.0"/>
      <color rgb="FF1F4E79"/>
      <name val="Arial"/>
    </font>
    <font>
      <sz val="10.0"/>
      <color rgb="FF333333"/>
      <name val="Arial"/>
    </font>
    <font>
      <b/>
      <sz val="12.0"/>
      <color rgb="FFFFFFFF"/>
      <name val="Arial"/>
    </font>
    <font>
      <b/>
      <sz val="12.0"/>
      <color rgb="FF666666"/>
      <name val="Arial"/>
    </font>
    <font>
      <sz val="11.0"/>
      <color rgb="FF000000"/>
      <name val="Arial"/>
    </font>
    <font>
      <sz val="11.0"/>
      <color rgb="FF666666"/>
      <name val="Arial"/>
    </font>
    <font/>
    <font>
      <b/>
      <i/>
      <sz val="12.0"/>
      <color rgb="FFFFFFFF"/>
      <name val="Arial"/>
    </font>
    <font>
      <b/>
      <sz val="10.0"/>
      <color rgb="FFFFFFFF"/>
      <name val="Arial"/>
    </font>
    <font>
      <color theme="1"/>
      <name val="Arial"/>
    </font>
    <font>
      <i/>
      <sz val="10.0"/>
      <color rgb="FF444444"/>
      <name val="Arial"/>
    </font>
    <font>
      <sz val="10.0"/>
      <color theme="1"/>
      <name val="Arial"/>
    </font>
    <font>
      <b/>
      <sz val="10.0"/>
      <color theme="1"/>
      <name val="Arial"/>
    </font>
    <font>
      <b/>
      <sz val="9.0"/>
      <color theme="1"/>
      <name val="Arial"/>
    </font>
    <font>
      <b/>
      <sz val="9.0"/>
      <color rgb="FF856404"/>
      <name val="Arial"/>
    </font>
    <font>
      <b/>
      <sz val="9.0"/>
      <color rgb="FF155724"/>
      <name val="Arial"/>
    </font>
    <font>
      <b/>
      <sz val="9.0"/>
      <color rgb="FF721C24"/>
      <name val="Arial"/>
    </font>
    <font>
      <b/>
      <sz val="9.0"/>
      <color rgb="FF000000"/>
      <name val="Arial"/>
    </font>
    <font>
      <b/>
      <sz val="11.0"/>
      <color rgb="FFFFFFFF"/>
      <name val="Arial"/>
    </font>
    <font>
      <sz val="9.0"/>
      <color theme="1"/>
      <name val="Arial"/>
    </font>
  </fonts>
  <fills count="20">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2E75B6"/>
        <bgColor rgb="FF2E75B6"/>
      </patternFill>
    </fill>
    <fill>
      <patternFill patternType="solid">
        <fgColor rgb="FFD6E4F0"/>
        <bgColor rgb="FFD6E4F0"/>
      </patternFill>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0F3460"/>
        <bgColor rgb="FF0F3460"/>
      </patternFill>
    </fill>
    <fill>
      <patternFill patternType="solid">
        <fgColor rgb="FF16213E"/>
        <bgColor rgb="FF16213E"/>
      </patternFill>
    </fill>
    <fill>
      <patternFill patternType="solid">
        <fgColor rgb="FFE8E8E8"/>
        <bgColor rgb="FFE8E8E8"/>
      </patternFill>
    </fill>
    <fill>
      <patternFill patternType="solid">
        <fgColor rgb="FFFFF3CD"/>
        <bgColor rgb="FFFFF3CD"/>
      </patternFill>
    </fill>
    <fill>
      <patternFill patternType="solid">
        <fgColor rgb="FFFFF9C4"/>
        <bgColor rgb="FFFFF9C4"/>
      </patternFill>
    </fill>
    <fill>
      <patternFill patternType="solid">
        <fgColor rgb="FFD4EDDA"/>
        <bgColor rgb="FFD4EDDA"/>
      </patternFill>
    </fill>
    <fill>
      <patternFill patternType="solid">
        <fgColor rgb="FFC8E6C9"/>
        <bgColor rgb="FFC8E6C9"/>
      </patternFill>
    </fill>
    <fill>
      <patternFill patternType="solid">
        <fgColor rgb="FFFFE0B2"/>
        <bgColor rgb="FFFFE0B2"/>
      </patternFill>
    </fill>
    <fill>
      <patternFill patternType="solid">
        <fgColor rgb="FFF8D7DA"/>
        <bgColor rgb="FFF8D7DA"/>
      </patternFill>
    </fill>
    <fill>
      <patternFill patternType="solid">
        <fgColor rgb="FFF8F9FA"/>
        <bgColor rgb="FFF8F9FA"/>
      </patternFill>
    </fill>
    <fill>
      <patternFill patternType="solid">
        <fgColor rgb="FF333333"/>
        <bgColor rgb="FF333333"/>
      </patternFill>
    </fill>
  </fills>
  <borders count="13">
    <border/>
    <border>
      <left/>
      <right/>
      <top/>
      <bottom/>
    </border>
    <border>
      <left style="medium">
        <color rgb="FFBF8F00"/>
      </left>
      <right style="medium">
        <color rgb="FFBF8F00"/>
      </right>
      <top style="medium">
        <color rgb="FFBF8F00"/>
      </top>
      <bottom/>
    </border>
    <border>
      <left style="thin">
        <color rgb="FFD9D9D9"/>
      </left>
      <right style="thin">
        <color rgb="FFD9D9D9"/>
      </right>
      <top style="thin">
        <color rgb="FFD9D9D9"/>
      </top>
      <bottom style="thin">
        <color rgb="FFD9D9D9"/>
      </bottom>
    </border>
    <border>
      <left style="thin">
        <color rgb="FF999999"/>
      </left>
      <right style="thin">
        <color rgb="FF999999"/>
      </right>
      <top style="thin">
        <color rgb="FF999999"/>
      </top>
      <bottom/>
    </border>
    <border>
      <left style="thin">
        <color rgb="FF999999"/>
      </left>
      <right style="thin">
        <color rgb="FF999999"/>
      </right>
      <top/>
      <bottom style="thin">
        <color rgb="FF999999"/>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1" fillId="4" fontId="4" numFmtId="0" xfId="0" applyAlignment="1" applyBorder="1" applyFill="1" applyFont="1">
      <alignment horizontal="left" shrinkToFit="0" vertical="center" wrapText="1"/>
    </xf>
    <xf borderId="3" fillId="5" fontId="5" numFmtId="0" xfId="0" applyAlignment="1" applyBorder="1" applyFill="1" applyFont="1">
      <alignment horizontal="left" readingOrder="0" shrinkToFit="0" vertical="top" wrapText="1"/>
    </xf>
    <xf borderId="1" fillId="4" fontId="4" numFmtId="0" xfId="0" applyAlignment="1" applyBorder="1" applyFont="1">
      <alignment horizontal="left" readingOrder="0" shrinkToFit="0" vertical="center" wrapText="1"/>
    </xf>
    <xf borderId="3" fillId="5" fontId="5" numFmtId="0" xfId="0" applyAlignment="1" applyBorder="1" applyFont="1">
      <alignment horizontal="left" shrinkToFit="0" vertical="top" wrapText="1"/>
    </xf>
    <xf borderId="3" fillId="5" fontId="6" numFmtId="0" xfId="0" applyAlignment="1" applyBorder="1" applyFont="1">
      <alignment horizontal="left" readingOrder="0" shrinkToFit="0" vertical="top" wrapText="1"/>
    </xf>
    <xf borderId="4" fillId="6" fontId="7" numFmtId="0" xfId="0" applyAlignment="1" applyBorder="1" applyFill="1" applyFont="1">
      <alignment horizontal="left" shrinkToFit="0" vertical="center" wrapText="1"/>
    </xf>
    <xf borderId="5" fillId="6" fontId="5" numFmtId="0" xfId="0" applyAlignment="1" applyBorder="1" applyFont="1">
      <alignment horizontal="left" readingOrder="0" shrinkToFit="0" vertical="top" wrapText="1"/>
    </xf>
    <xf borderId="1" fillId="6" fontId="8" numFmtId="0" xfId="0" applyAlignment="1" applyBorder="1" applyFont="1">
      <alignment horizontal="left" shrinkToFit="0" vertical="top" wrapText="1"/>
    </xf>
    <xf borderId="1" fillId="7" fontId="9" numFmtId="0" xfId="0" applyAlignment="1" applyBorder="1" applyFill="1" applyFont="1">
      <alignment horizontal="left" shrinkToFit="0" vertical="top" wrapText="1"/>
    </xf>
    <xf borderId="1" fillId="7" fontId="9"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5" fontId="9" numFmtId="0" xfId="0" applyAlignment="1" applyBorder="1" applyFont="1">
      <alignment horizontal="left" shrinkToFit="0" vertical="top" wrapText="1"/>
    </xf>
    <xf borderId="1" fillId="2" fontId="10" numFmtId="0" xfId="0" applyAlignment="1" applyBorder="1" applyFont="1">
      <alignment horizontal="center" shrinkToFit="0" vertical="center" wrapText="1"/>
    </xf>
    <xf borderId="1" fillId="8" fontId="11" numFmtId="0" xfId="0" applyAlignment="1" applyBorder="1" applyFill="1" applyFont="1">
      <alignment horizontal="center" shrinkToFit="0" vertical="center" wrapText="1"/>
    </xf>
    <xf borderId="0" fillId="0" fontId="12" numFmtId="0" xfId="0" applyAlignment="1" applyFont="1">
      <alignment shrinkToFit="0" vertical="top" wrapText="1"/>
    </xf>
    <xf borderId="1" fillId="8" fontId="13" numFmtId="0" xfId="0" applyAlignment="1" applyBorder="1" applyFont="1">
      <alignment shrinkToFit="0" vertical="top" wrapText="1"/>
    </xf>
    <xf borderId="0" fillId="0" fontId="12" numFmtId="0" xfId="0" applyAlignment="1" applyFont="1">
      <alignment readingOrder="0" shrinkToFit="0" vertical="top" wrapText="1"/>
    </xf>
    <xf borderId="0" fillId="0" fontId="12" numFmtId="0" xfId="0" applyAlignment="1" applyFont="1">
      <alignment shrinkToFit="0" vertical="bottom" wrapText="0"/>
    </xf>
    <xf borderId="0" fillId="0" fontId="12" numFmtId="0" xfId="0" applyAlignment="1" applyFont="1">
      <alignment readingOrder="0" shrinkToFit="0" vertical="bottom" wrapText="0"/>
    </xf>
    <xf borderId="6" fillId="2" fontId="1" numFmtId="0" xfId="0" applyAlignment="1" applyBorder="1" applyFont="1">
      <alignment horizontal="center" shrinkToFit="0" vertical="center" wrapText="1"/>
    </xf>
    <xf borderId="7" fillId="0" fontId="14" numFmtId="0" xfId="0" applyBorder="1" applyFont="1"/>
    <xf borderId="8" fillId="0" fontId="14" numFmtId="0" xfId="0" applyBorder="1" applyFont="1"/>
    <xf borderId="6" fillId="2" fontId="15" numFmtId="0" xfId="0" applyAlignment="1" applyBorder="1" applyFont="1">
      <alignment horizontal="center" readingOrder="0" shrinkToFit="0" vertical="center" wrapText="1"/>
    </xf>
    <xf borderId="9" fillId="9" fontId="16" numFmtId="0" xfId="0" applyAlignment="1" applyBorder="1" applyFill="1" applyFont="1">
      <alignment horizontal="center" shrinkToFit="0" vertical="center" wrapText="1"/>
    </xf>
    <xf borderId="0" fillId="0" fontId="17" numFmtId="0" xfId="0" applyAlignment="1" applyFont="1">
      <alignment vertical="bottom"/>
    </xf>
    <xf borderId="6" fillId="10" fontId="4" numFmtId="0" xfId="0" applyAlignment="1" applyBorder="1" applyFill="1" applyFont="1">
      <alignment horizontal="left" shrinkToFit="0" vertical="center" wrapText="1"/>
    </xf>
    <xf borderId="6" fillId="11" fontId="18" numFmtId="0" xfId="0" applyAlignment="1" applyBorder="1" applyFill="1" applyFont="1">
      <alignment horizontal="left" shrinkToFit="0" vertical="center" wrapText="1"/>
    </xf>
    <xf borderId="9" fillId="12" fontId="19" numFmtId="0" xfId="0" applyAlignment="1" applyBorder="1" applyFill="1" applyFont="1">
      <alignment shrinkToFit="0" vertical="center" wrapText="1"/>
    </xf>
    <xf borderId="9" fillId="12" fontId="20" numFmtId="0" xfId="0" applyAlignment="1" applyBorder="1" applyFont="1">
      <alignment shrinkToFit="0" vertical="center" wrapText="1"/>
    </xf>
    <xf borderId="9" fillId="13" fontId="21" numFmtId="0" xfId="0" applyAlignment="1" applyBorder="1" applyFill="1" applyFont="1">
      <alignment horizontal="center" shrinkToFit="0" vertical="center" wrapText="1"/>
    </xf>
    <xf borderId="9" fillId="12" fontId="22" numFmtId="0" xfId="0" applyAlignment="1" applyBorder="1" applyFont="1">
      <alignment horizontal="center" readingOrder="0" shrinkToFit="0" vertical="center" wrapText="1"/>
    </xf>
    <xf borderId="9" fillId="14" fontId="23" numFmtId="0" xfId="0" applyAlignment="1" applyBorder="1" applyFill="1" applyFont="1">
      <alignment horizontal="center" vertical="center"/>
    </xf>
    <xf borderId="9" fillId="15" fontId="21" numFmtId="0" xfId="0" applyAlignment="1" applyBorder="1" applyFill="1" applyFont="1">
      <alignment horizontal="center" shrinkToFit="0" vertical="center" wrapText="1"/>
    </xf>
    <xf borderId="9" fillId="16" fontId="21" numFmtId="0" xfId="0" applyAlignment="1" applyBorder="1" applyFill="1" applyFont="1">
      <alignment horizontal="center" shrinkToFit="0" vertical="center" wrapText="1"/>
    </xf>
    <xf borderId="9" fillId="17" fontId="24" numFmtId="0" xfId="0" applyAlignment="1" applyBorder="1" applyFill="1" applyFont="1">
      <alignment horizontal="center" vertical="center"/>
    </xf>
    <xf borderId="9" fillId="18" fontId="19" numFmtId="0" xfId="0" applyAlignment="1" applyBorder="1" applyFill="1" applyFont="1">
      <alignment shrinkToFit="0" vertical="center" wrapText="1"/>
    </xf>
    <xf borderId="9" fillId="18" fontId="20" numFmtId="0" xfId="0" applyAlignment="1" applyBorder="1" applyFont="1">
      <alignment shrinkToFit="0" vertical="center" wrapText="1"/>
    </xf>
    <xf borderId="9" fillId="18" fontId="25" numFmtId="0" xfId="0" applyAlignment="1" applyBorder="1" applyFont="1">
      <alignment horizontal="center" shrinkToFit="0" vertical="center" wrapText="1"/>
    </xf>
    <xf borderId="9" fillId="17" fontId="21" numFmtId="0" xfId="0" applyAlignment="1" applyBorder="1" applyFont="1">
      <alignment horizontal="center" shrinkToFit="0" vertical="center" wrapText="1"/>
    </xf>
    <xf borderId="9" fillId="7" fontId="19" numFmtId="0" xfId="0" applyAlignment="1" applyBorder="1" applyFont="1">
      <alignment shrinkToFit="0" vertical="center" wrapText="1"/>
    </xf>
    <xf borderId="9" fillId="7" fontId="20" numFmtId="0" xfId="0" applyAlignment="1" applyBorder="1" applyFont="1">
      <alignment shrinkToFit="0" vertical="center" wrapText="1"/>
    </xf>
    <xf borderId="9" fillId="7" fontId="25" numFmtId="0" xfId="0" applyAlignment="1" applyBorder="1" applyFont="1">
      <alignment horizontal="center" shrinkToFit="0" vertical="center" wrapText="1"/>
    </xf>
    <xf borderId="9" fillId="12" fontId="22" numFmtId="0" xfId="0" applyAlignment="1" applyBorder="1" applyFont="1">
      <alignment horizontal="center" vertical="center"/>
    </xf>
    <xf borderId="6" fillId="19" fontId="26" numFmtId="0" xfId="0" applyAlignment="1" applyBorder="1" applyFill="1" applyFont="1">
      <alignment horizontal="center" vertical="center"/>
    </xf>
    <xf borderId="9" fillId="12" fontId="20" numFmtId="0" xfId="0" applyAlignment="1" applyBorder="1" applyFont="1">
      <alignment readingOrder="0" shrinkToFit="0" vertical="center" wrapText="1"/>
    </xf>
    <xf borderId="10" fillId="12" fontId="27" numFmtId="0" xfId="0" applyAlignment="1" applyBorder="1" applyFont="1">
      <alignment shrinkToFit="0" vertical="center" wrapText="1"/>
    </xf>
    <xf borderId="11" fillId="0" fontId="14" numFmtId="0" xfId="0" applyBorder="1" applyFont="1"/>
    <xf borderId="12" fillId="0" fontId="14" numFmtId="0" xfId="0" applyBorder="1" applyFont="1"/>
    <xf borderId="9" fillId="17" fontId="20" numFmtId="0" xfId="0" applyAlignment="1" applyBorder="1" applyFont="1">
      <alignment shrinkToFit="0" vertical="center" wrapText="1"/>
    </xf>
    <xf borderId="10" fillId="17" fontId="27" numFmtId="0" xfId="0" applyAlignment="1" applyBorder="1" applyFont="1">
      <alignment shrinkToFit="0" vertical="center" wrapText="1"/>
    </xf>
    <xf borderId="9" fillId="16" fontId="20" numFmtId="0" xfId="0" applyAlignment="1" applyBorder="1" applyFont="1">
      <alignment shrinkToFit="0" vertical="center" wrapText="1"/>
    </xf>
    <xf borderId="10" fillId="16" fontId="27" numFmtId="0" xfId="0" applyAlignment="1" applyBorder="1" applyFont="1">
      <alignment shrinkToFit="0" vertical="center" wrapText="1"/>
    </xf>
    <xf borderId="9" fillId="13" fontId="20" numFmtId="0" xfId="0" applyAlignment="1" applyBorder="1" applyFont="1">
      <alignment shrinkToFit="0" vertical="center" wrapText="1"/>
    </xf>
    <xf borderId="10" fillId="13" fontId="27" numFmtId="0" xfId="0" applyAlignment="1" applyBorder="1" applyFont="1">
      <alignment shrinkToFit="0" vertical="center" wrapText="1"/>
    </xf>
    <xf borderId="9" fillId="15" fontId="20" numFmtId="0" xfId="0" applyAlignment="1" applyBorder="1" applyFont="1">
      <alignment shrinkToFit="0" vertical="center" wrapText="1"/>
    </xf>
    <xf borderId="10" fillId="15" fontId="27" numFmtId="0" xfId="0" applyAlignment="1" applyBorder="1" applyFont="1">
      <alignment shrinkToFit="0" vertical="center" wrapText="1"/>
    </xf>
  </cellXfs>
  <cellStyles count="1">
    <cellStyle xfId="0" name="Normal" builtinId="0"/>
  </cellStyles>
  <dxfs count="4">
    <dxf>
      <font>
        <color rgb="FF000000"/>
        <name val="Arial"/>
      </font>
      <fill>
        <patternFill patternType="solid">
          <fgColor rgb="FFFFFAED"/>
          <bgColor rgb="FFFFFAED"/>
        </patternFill>
      </fill>
      <border/>
    </dxf>
    <dxf>
      <font>
        <color rgb="FF000000"/>
        <name val="Arial"/>
      </font>
      <fill>
        <patternFill patternType="solid">
          <fgColor rgb="FFFFF2CC"/>
          <bgColor rgb="FFFFF2CC"/>
        </patternFill>
      </fill>
      <border/>
    </dxf>
    <dxf>
      <font>
        <color rgb="FF000000"/>
        <name val="Arial"/>
      </font>
      <fill>
        <patternFill patternType="solid">
          <fgColor rgb="FFF9CB9C"/>
          <bgColor rgb="FFF9CB9C"/>
        </patternFill>
      </fill>
      <border/>
    </dxf>
    <dxf>
      <font>
        <color rgb="FF000000"/>
        <name val="Arial"/>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List_of_people_named_in_the_Epstein_files" TargetMode="External"/><Relationship Id="rId2" Type="http://schemas.openxmlformats.org/officeDocument/2006/relationships/hyperlink" Target="https://www.justice.gov/epste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3.38"/>
    <col customWidth="1" min="2" max="2" width="1.75"/>
  </cols>
  <sheetData>
    <row r="1" ht="39.75" customHeight="1">
      <c r="A1" s="1" t="s">
        <v>0</v>
      </c>
    </row>
    <row r="2" ht="21.75" customHeight="1">
      <c r="A2" s="2" t="s">
        <v>1</v>
      </c>
    </row>
    <row r="3" ht="9.75" customHeight="1"/>
    <row r="4" ht="30.0" customHeight="1">
      <c r="A4" s="3" t="s">
        <v>2</v>
      </c>
    </row>
    <row r="5" ht="9.75" customHeight="1"/>
    <row r="6" ht="27.75" customHeight="1">
      <c r="A6" s="4" t="s">
        <v>3</v>
      </c>
    </row>
    <row r="7" ht="222.75" customHeight="1">
      <c r="A7" s="5" t="s">
        <v>4</v>
      </c>
    </row>
    <row r="8" ht="8.25" customHeight="1"/>
    <row r="9" ht="24.0" customHeight="1">
      <c r="A9" s="6" t="s">
        <v>5</v>
      </c>
    </row>
    <row r="10" ht="108.0" customHeight="1">
      <c r="A10" s="5" t="s">
        <v>6</v>
      </c>
    </row>
    <row r="11" ht="9.75" customHeight="1"/>
    <row r="12" ht="27.75" customHeight="1">
      <c r="A12" s="4" t="s">
        <v>7</v>
      </c>
    </row>
    <row r="13" ht="240.0" customHeight="1">
      <c r="A13" s="5" t="s">
        <v>8</v>
      </c>
    </row>
    <row r="14" ht="9.75" customHeight="1"/>
    <row r="15" ht="27.75" customHeight="1">
      <c r="A15" s="4" t="s">
        <v>9</v>
      </c>
    </row>
    <row r="16" ht="259.5" customHeight="1">
      <c r="A16" s="7" t="s">
        <v>10</v>
      </c>
    </row>
    <row r="17" ht="9.75" customHeight="1"/>
    <row r="18" ht="27.75" customHeight="1">
      <c r="A18" s="4" t="s">
        <v>11</v>
      </c>
    </row>
    <row r="19" ht="120.0" customHeight="1">
      <c r="A19" s="8" t="s">
        <v>12</v>
      </c>
    </row>
    <row r="20" ht="9.75" customHeight="1"/>
    <row r="21" ht="27.75" customHeight="1">
      <c r="A21" s="4" t="s">
        <v>13</v>
      </c>
    </row>
    <row r="22" ht="189.75" customHeight="1">
      <c r="A22" s="7" t="s">
        <v>14</v>
      </c>
    </row>
    <row r="23" ht="9.75" customHeight="1"/>
    <row r="24" ht="27.75" customHeight="1">
      <c r="A24" s="4" t="s">
        <v>15</v>
      </c>
    </row>
    <row r="25" ht="168.0" customHeight="1">
      <c r="A25" s="7" t="s">
        <v>16</v>
      </c>
    </row>
    <row r="26" ht="6.0" customHeight="1"/>
    <row r="27" ht="25.5" customHeight="1">
      <c r="A27" s="9" t="s">
        <v>17</v>
      </c>
    </row>
    <row r="28" ht="163.5" customHeight="1">
      <c r="A28" s="10" t="s">
        <v>18</v>
      </c>
    </row>
    <row r="29" ht="9.75" customHeight="1"/>
    <row r="30" ht="27.75" customHeight="1">
      <c r="A30" s="4" t="s">
        <v>19</v>
      </c>
    </row>
    <row r="31" ht="18.0" customHeight="1">
      <c r="A31" s="11" t="s">
        <v>20</v>
      </c>
    </row>
    <row r="32" ht="30.0" customHeight="1">
      <c r="A32" s="12" t="s">
        <v>21</v>
      </c>
    </row>
    <row r="33" ht="18.0" customHeight="1">
      <c r="A33" s="11" t="s">
        <v>22</v>
      </c>
    </row>
    <row r="34" ht="63.75" customHeight="1">
      <c r="A34" s="12" t="s">
        <v>23</v>
      </c>
    </row>
    <row r="35" ht="18.0" customHeight="1">
      <c r="A35" s="11" t="s">
        <v>24</v>
      </c>
    </row>
    <row r="36" ht="48.0" customHeight="1">
      <c r="A36" s="12" t="s">
        <v>25</v>
      </c>
    </row>
    <row r="37" ht="18.0" customHeight="1">
      <c r="A37" s="11" t="s">
        <v>26</v>
      </c>
    </row>
    <row r="38" ht="48.0" customHeight="1">
      <c r="A38" s="12" t="s">
        <v>27</v>
      </c>
    </row>
    <row r="39" ht="18.0" customHeight="1">
      <c r="A39" s="11" t="s">
        <v>28</v>
      </c>
    </row>
    <row r="40" ht="48.0" customHeight="1">
      <c r="A40" s="12" t="s">
        <v>29</v>
      </c>
    </row>
    <row r="41" ht="18.0" customHeight="1">
      <c r="A41" s="11" t="s">
        <v>30</v>
      </c>
    </row>
    <row r="42" ht="63.75" customHeight="1">
      <c r="A42" s="12" t="s">
        <v>31</v>
      </c>
    </row>
    <row r="43" ht="18.0" customHeight="1">
      <c r="A43" s="11" t="s">
        <v>32</v>
      </c>
    </row>
    <row r="44" ht="31.5" customHeight="1">
      <c r="A44" s="12" t="s">
        <v>33</v>
      </c>
    </row>
    <row r="45" ht="18.0" customHeight="1">
      <c r="A45" s="11" t="s">
        <v>34</v>
      </c>
    </row>
    <row r="46" ht="48.0" customHeight="1">
      <c r="A46" s="12" t="s">
        <v>35</v>
      </c>
    </row>
    <row r="47" ht="18.0" customHeight="1">
      <c r="A47" s="11" t="s">
        <v>36</v>
      </c>
    </row>
    <row r="48" ht="63.75" customHeight="1">
      <c r="A48" s="13" t="s">
        <v>37</v>
      </c>
    </row>
    <row r="49" ht="9.75" customHeight="1"/>
    <row r="50" ht="27.75" customHeight="1">
      <c r="A50" s="4" t="s">
        <v>38</v>
      </c>
    </row>
    <row r="51" ht="147.0" customHeight="1">
      <c r="A51" s="14" t="s">
        <v>39</v>
      </c>
    </row>
    <row r="52" ht="9.75" customHeight="1"/>
    <row r="53" ht="21.75" customHeight="1">
      <c r="A53" s="4" t="s">
        <v>40</v>
      </c>
    </row>
    <row r="54" ht="381.75" customHeight="1">
      <c r="A54" s="15" t="s">
        <v>41</v>
      </c>
    </row>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hyperlinks>
    <hyperlink r:id="rId1" ref="A19"/>
    <hyperlink r:id="rId2" ref="A28"/>
  </hyperlinks>
  <printOptions/>
  <pageMargins bottom="1.0" footer="0.0" header="0.0" left="0.75" right="0.75" top="1.0"/>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5"/>
    <col customWidth="1" min="2" max="2" width="13.63"/>
    <col customWidth="1" min="3" max="3" width="36.75"/>
    <col customWidth="1" min="4" max="4" width="13.75"/>
    <col customWidth="1" min="5" max="5" width="29.88"/>
    <col customWidth="1" min="6" max="6" width="76.63"/>
    <col customWidth="1" min="7" max="7" width="50.63"/>
    <col customWidth="1" min="8" max="8" width="44.63"/>
    <col customWidth="1" min="9" max="9" width="21.0"/>
    <col customWidth="1" min="10" max="10" width="4.5"/>
    <col customWidth="1" min="11" max="12" width="9.75"/>
    <col customWidth="1" min="13" max="13" width="3.75"/>
  </cols>
  <sheetData>
    <row r="1" ht="78.75" customHeight="1">
      <c r="A1" s="16" t="s">
        <v>42</v>
      </c>
      <c r="B1" s="16" t="s">
        <v>43</v>
      </c>
      <c r="C1" s="16" t="s">
        <v>44</v>
      </c>
      <c r="D1" s="16" t="s">
        <v>45</v>
      </c>
      <c r="E1" s="16" t="s">
        <v>46</v>
      </c>
      <c r="F1" s="16" t="s">
        <v>47</v>
      </c>
      <c r="G1" s="16" t="s">
        <v>48</v>
      </c>
      <c r="H1" s="16" t="s">
        <v>49</v>
      </c>
      <c r="I1" s="16" t="s">
        <v>50</v>
      </c>
      <c r="J1" s="16"/>
      <c r="K1" s="17" t="s">
        <v>51</v>
      </c>
      <c r="L1" s="17" t="s">
        <v>52</v>
      </c>
    </row>
    <row r="2" ht="162.0" customHeight="1">
      <c r="A2" s="18" t="s">
        <v>53</v>
      </c>
      <c r="B2" s="18" t="s">
        <v>54</v>
      </c>
      <c r="C2" s="18" t="s">
        <v>55</v>
      </c>
      <c r="D2" s="18" t="s">
        <v>56</v>
      </c>
      <c r="E2" s="18" t="s">
        <v>57</v>
      </c>
      <c r="F2" s="18" t="s">
        <v>58</v>
      </c>
      <c r="G2" s="18" t="str">
        <f>IFERROR(__xludf.DUMMYFUNCTION("textjoin(char(10),1,filter(Organizations!D:D,Organizations!A:A=A2))"),"Gravier Productions - His personal production company used to produce his films
Previous production/distribution partnerships with Sweetland Films, TriStar Pictures, Orion Pictures, United Artists, and Amazon Studios")</f>
        <v>Gravier Productions - His personal production company used to produce his films
Previous production/distribution partnerships with Sweetland Films, TriStar Pictures, Orion Pictures, United Artists, and Amazon Studios</v>
      </c>
      <c r="H2" s="18" t="s">
        <v>59</v>
      </c>
      <c r="I2" s="18" t="s">
        <v>60</v>
      </c>
      <c r="J2" s="18"/>
      <c r="K2" s="19" t="s">
        <v>61</v>
      </c>
      <c r="L2" s="19" t="s">
        <v>62</v>
      </c>
    </row>
    <row r="3" ht="162.0" customHeight="1">
      <c r="A3" s="18" t="s">
        <v>63</v>
      </c>
      <c r="B3" s="18" t="s">
        <v>64</v>
      </c>
      <c r="C3" s="18" t="s">
        <v>65</v>
      </c>
      <c r="D3" s="18" t="s">
        <v>56</v>
      </c>
      <c r="E3" s="18" t="s">
        <v>66</v>
      </c>
      <c r="F3" s="18" t="s">
        <v>67</v>
      </c>
      <c r="G3" s="18" t="str">
        <f>IFERROR(__xludf.DUMMYFUNCTION("textjoin(char(10),1,filter(Organizations!D:D,Organizations!A:A=A3))"),"Reliance Group - (ADA Group) — Founder and Chairman
Reliance Communications - Chairman
Reliance Capital - Chairman
Reliance Infrastructure - Chairman
Reliance Power - Chairman
Reliance Defence and Engineering Limited - Chairman
Reliance Defence Limited - "&amp;"Chairman
Reliance Defence Technologies Private Limited - Chairman
Reliance Naval &amp; Engineering Ltd - Chairman")</f>
        <v>Reliance Group - (ADA Group) — Founder and Chairman
Reliance Communications - Chairman
Reliance Capital - Chairman
Reliance Infrastructure - Chairman
Reliance Power - Chairman
Reliance Defence and Engineering Limited - Chairman
Reliance Defence Limited - Chairman
Reliance Defence Technologies Private Limited - Chairman
Reliance Naval &amp; Engineering Ltd - Chairman</v>
      </c>
      <c r="H3" s="18" t="s">
        <v>68</v>
      </c>
      <c r="I3" s="18" t="s">
        <v>69</v>
      </c>
      <c r="J3" s="18"/>
      <c r="K3" s="19" t="s">
        <v>70</v>
      </c>
      <c r="L3" s="19" t="s">
        <v>71</v>
      </c>
    </row>
    <row r="4" ht="162.0" customHeight="1">
      <c r="A4" s="18" t="s">
        <v>72</v>
      </c>
      <c r="B4" s="18" t="s">
        <v>73</v>
      </c>
      <c r="C4" s="18" t="s">
        <v>74</v>
      </c>
      <c r="D4" s="18" t="s">
        <v>56</v>
      </c>
      <c r="E4" s="18" t="s">
        <v>75</v>
      </c>
      <c r="F4" s="18" t="s">
        <v>67</v>
      </c>
      <c r="G4" s="18" t="str">
        <f>IFERROR(__xludf.DUMMYFUNCTION("textjoin(char(10),1,filter(Organizations!D:D,Organizations!A:A=A4))"),"Dubin Breast Center - (Tisch Cancer Institute, Mount Sinai) — Founder
Mount Sinai Medical Center - Board of Directors (since 2014)
Breast Cancer Alliance - Medical Advisory Board
Michael J. Fox Foundation - Former Board
Alliance for Lupus Research - Forme"&amp;"r Board
Friends of the Karolinska - Board
Trinity School of New York - Former Board
Dubin Family Foundation - Co-leader")</f>
        <v>Dubin Breast Center - (Tisch Cancer Institute, Mount Sinai) — Founder
Mount Sinai Medical Center - Board of Directors (since 2014)
Breast Cancer Alliance - Medical Advisory Board
Michael J. Fox Foundation - Former Board
Alliance for Lupus Research - Former Board
Friends of the Karolinska - Board
Trinity School of New York - Former Board
Dubin Family Foundation - Co-leader</v>
      </c>
      <c r="H4" s="18" t="s">
        <v>76</v>
      </c>
      <c r="I4" s="18" t="s">
        <v>77</v>
      </c>
      <c r="J4" s="18"/>
      <c r="K4" s="19" t="s">
        <v>78</v>
      </c>
      <c r="L4" s="19" t="s">
        <v>79</v>
      </c>
    </row>
    <row r="5" ht="162.0" customHeight="1">
      <c r="A5" s="18" t="s">
        <v>80</v>
      </c>
      <c r="B5" s="18" t="s">
        <v>64</v>
      </c>
      <c r="C5" s="18" t="s">
        <v>81</v>
      </c>
      <c r="D5" s="18" t="s">
        <v>82</v>
      </c>
      <c r="E5" s="18" t="s">
        <v>83</v>
      </c>
      <c r="F5" s="20" t="s">
        <v>84</v>
      </c>
      <c r="G5" s="18" t="str">
        <f>IFERROR(__xludf.DUMMYFUNCTION("textjoin(char(10),1,filter(Organizations!D:D,Organizations!A:A=A5))"),"Center for Advanced Hindsight - (Duke University) — Founder
BEworks - Co-founder (acquired by Kyu, 2017)
Timeful - Co-founder (acquired by Google, 2015)
Irrational Labs - Co-founder
Genie - (kitchen appliance company) — Co-founder
Shapa Health - Co-founde"&amp;"r
Irrational Capital - Co-founder and Partner
Kayma Labs - Co-founder
Epilog - Co-founder and Chief Behavioral Officer
Lemonade Inc. - Chief Behavioral Officer
Qapital - Former Chairman of the Board
Communitas Capital Partners - Advisory Board")</f>
        <v>Center for Advanced Hindsight - (Duke University) — Founder
BEworks - Co-founder (acquired by Kyu, 2017)
Timeful - Co-founder (acquired by Google, 2015)
Irrational Labs - Co-founder
Genie - (kitchen appliance company) — Co-founder
Shapa Health - Co-founder
Irrational Capital - Co-founder and Partner
Kayma Labs - Co-founder
Epilog - Co-founder and Chief Behavioral Officer
Lemonade Inc. - Chief Behavioral Officer
Qapital - Former Chairman of the Board
Communitas Capital Partners - Advisory Board</v>
      </c>
      <c r="H5" s="18" t="s">
        <v>85</v>
      </c>
      <c r="I5" s="18" t="s">
        <v>86</v>
      </c>
      <c r="J5" s="18"/>
      <c r="K5" s="19" t="s">
        <v>87</v>
      </c>
      <c r="L5" s="19" t="s">
        <v>88</v>
      </c>
    </row>
    <row r="6" ht="162.0" customHeight="1">
      <c r="A6" s="18" t="s">
        <v>89</v>
      </c>
      <c r="B6" s="18" t="s">
        <v>73</v>
      </c>
      <c r="C6" s="18" t="s">
        <v>90</v>
      </c>
      <c r="D6" s="18" t="s">
        <v>56</v>
      </c>
      <c r="E6" s="18" t="s">
        <v>91</v>
      </c>
      <c r="F6" s="18" t="s">
        <v>92</v>
      </c>
      <c r="G6" s="18" t="str">
        <f>IFERROR(__xludf.DUMMYFUNCTION("textjoin(char(10),1,filter(Organizations!D:D,Organizations!A:A=A6))"),"Early Medical - Founder
10 Squared - Co-founder
The Peter Attia Drive - (podcast) — Host/Creator
CBS News - Contributor")</f>
        <v>Early Medical - Founder
10 Squared - Co-founder
The Peter Attia Drive - (podcast) — Host/Creator
CBS News - Contributor</v>
      </c>
      <c r="H6" s="18" t="s">
        <v>93</v>
      </c>
      <c r="I6" s="18" t="s">
        <v>94</v>
      </c>
      <c r="J6" s="18"/>
      <c r="K6" s="19" t="s">
        <v>95</v>
      </c>
      <c r="L6" s="19" t="s">
        <v>96</v>
      </c>
    </row>
    <row r="7" ht="162.0" customHeight="1">
      <c r="A7" s="18" t="s">
        <v>97</v>
      </c>
      <c r="B7" s="18" t="s">
        <v>98</v>
      </c>
      <c r="C7" s="18" t="s">
        <v>99</v>
      </c>
      <c r="D7" s="18" t="s">
        <v>82</v>
      </c>
      <c r="E7" s="18" t="s">
        <v>100</v>
      </c>
      <c r="F7" s="18" t="s">
        <v>67</v>
      </c>
      <c r="G7" s="18" t="str">
        <f>IFERROR(__xludf.DUMMYFUNCTION("textjoin(char(10),1,filter(Organizations!D:D,Organizations!A:A=A7))"),"Government of Spain - President (Prime Minister), 1996–2004
Partido Popular - Former Executive President (1990–2004)
FAES (Foundation for Social Studies and Analysis) - President (since 1989)
News Corp - Independent Non-Executive Director (since 2013)
Afi"&amp;"niti, Inc. / Afiniti Ltd. (Bermuda) - Director
U.S.-Spain Council, Inc. - Founder
Friends of Israel Initiative - Founder
Bussola Institute - President-Honorary Board
Barrick Gold - International Advisory Board
State Council of Spain - Former member")</f>
        <v>Government of Spain - President (Prime Minister), 1996–2004
Partido Popular - Former Executive President (1990–2004)
FAES (Foundation for Social Studies and Analysis) - President (since 1989)
News Corp - Independent Non-Executive Director (since 2013)
Afiniti, Inc. / Afiniti Ltd. (Bermuda) - Director
U.S.-Spain Council, Inc. - Founder
Friends of Israel Initiative - Founder
Bussola Institute - President-Honorary Board
Barrick Gold - International Advisory Board
State Council of Spain - Former member</v>
      </c>
      <c r="H7" s="18" t="s">
        <v>101</v>
      </c>
      <c r="I7" s="20" t="s">
        <v>102</v>
      </c>
      <c r="J7" s="18"/>
      <c r="K7" s="19" t="s">
        <v>103</v>
      </c>
      <c r="L7" s="19" t="s">
        <v>104</v>
      </c>
    </row>
    <row r="8" ht="162.0" customHeight="1">
      <c r="A8" s="18" t="s">
        <v>105</v>
      </c>
      <c r="B8" s="18" t="s">
        <v>64</v>
      </c>
      <c r="C8" s="18" t="s">
        <v>106</v>
      </c>
      <c r="D8" s="18" t="s">
        <v>82</v>
      </c>
      <c r="E8" s="18" t="s">
        <v>107</v>
      </c>
      <c r="F8" s="18" t="s">
        <v>67</v>
      </c>
      <c r="G8" s="18" t="str">
        <f>IFERROR(__xludf.DUMMYFUNCTION("textjoin(char(10),1,filter(Organizations!D:D,Organizations!A:A=A8))"),"California Institute for Machine Consciousness (CIMC) - Executive Director (since 2025)
Liquid AI - AI Strategist (since 2023)
AI Foundation - Former VP of Research
Intel Labs - Former Principal AI Engineer
Klayo AG - Co-founder
txtr GmbH - Co-founder
Wiz"&amp;"pac Ltd. - Co-founder")</f>
        <v>California Institute for Machine Consciousness (CIMC) - Executive Director (since 2025)
Liquid AI - AI Strategist (since 2023)
AI Foundation - Former VP of Research
Intel Labs - Former Principal AI Engineer
Klayo AG - Co-founder
txtr GmbH - Co-founder
Wizpac Ltd. - Co-founder</v>
      </c>
      <c r="H8" s="18" t="s">
        <v>108</v>
      </c>
      <c r="I8" s="18" t="s">
        <v>109</v>
      </c>
      <c r="J8" s="18"/>
      <c r="K8" s="19" t="s">
        <v>110</v>
      </c>
      <c r="L8" s="19" t="s">
        <v>111</v>
      </c>
    </row>
    <row r="9" ht="162.0" customHeight="1">
      <c r="A9" s="18" t="s">
        <v>112</v>
      </c>
      <c r="B9" s="18" t="s">
        <v>73</v>
      </c>
      <c r="C9" s="18" t="s">
        <v>113</v>
      </c>
      <c r="D9" s="18" t="s">
        <v>56</v>
      </c>
      <c r="E9" s="18" t="s">
        <v>114</v>
      </c>
      <c r="F9" s="18" t="s">
        <v>115</v>
      </c>
      <c r="G9" s="18" t="str">
        <f>IFERROR(__xludf.DUMMYFUNCTION("textjoin(char(10),1,filter(Organizations!D:D,Organizations!A:A=A9))"),"Breitbart News - Co-founder; Executive Chairman (2012–2018)
Government Accountability Institute - Co-founder
Cambridge Analytica - Former Vice President
The White House - Former Chief Strategist (2017)
War Room - (podcast) — Host")</f>
        <v>Breitbart News - Co-founder; Executive Chairman (2012–2018)
Government Accountability Institute - Co-founder
Cambridge Analytica - Former Vice President
The White House - Former Chief Strategist (2017)
War Room - (podcast) — Host</v>
      </c>
      <c r="H9" s="18" t="s">
        <v>116</v>
      </c>
      <c r="I9" s="18" t="s">
        <v>117</v>
      </c>
      <c r="J9" s="18"/>
      <c r="K9" s="19" t="s">
        <v>118</v>
      </c>
      <c r="L9" s="19" t="s">
        <v>119</v>
      </c>
    </row>
    <row r="10" ht="162.0" customHeight="1">
      <c r="A10" s="18" t="s">
        <v>120</v>
      </c>
      <c r="B10" s="18" t="s">
        <v>54</v>
      </c>
      <c r="C10" s="18" t="s">
        <v>121</v>
      </c>
      <c r="D10" s="18" t="s">
        <v>56</v>
      </c>
      <c r="E10" s="18" t="s">
        <v>122</v>
      </c>
      <c r="F10" s="18" t="s">
        <v>123</v>
      </c>
      <c r="G10" s="18" t="str">
        <f>IFERROR(__xludf.DUMMYFUNCTION("textjoin(char(10),1,filter(Organizations!D:D,Organizations!A:A=A10))"),"State of Israel - Prime Minister (1999–2001); Minister of Defense
InterCure / Canndoc Pharma - Chairman of the Board
Ehud Barak Limited - Founder
SCP Private Equity Partners - Former Partner
Israel Labor Party - Former leader")</f>
        <v>State of Israel - Prime Minister (1999–2001); Minister of Defense
InterCure / Canndoc Pharma - Chairman of the Board
Ehud Barak Limited - Founder
SCP Private Equity Partners - Former Partner
Israel Labor Party - Former leader</v>
      </c>
      <c r="H10" s="18" t="s">
        <v>124</v>
      </c>
      <c r="I10" s="18" t="s">
        <v>125</v>
      </c>
      <c r="J10" s="18"/>
      <c r="K10" s="19" t="s">
        <v>126</v>
      </c>
      <c r="L10" s="19" t="s">
        <v>127</v>
      </c>
    </row>
    <row r="11" ht="162.0" customHeight="1">
      <c r="A11" s="18" t="s">
        <v>128</v>
      </c>
      <c r="B11" s="18" t="s">
        <v>54</v>
      </c>
      <c r="C11" s="18" t="s">
        <v>129</v>
      </c>
      <c r="D11" s="18" t="s">
        <v>56</v>
      </c>
      <c r="E11" s="18" t="s">
        <v>130</v>
      </c>
      <c r="F11" s="18" t="s">
        <v>131</v>
      </c>
      <c r="G11" s="18" t="str">
        <f>IFERROR(__xludf.DUMMYFUNCTION("textjoin(char(10),1,filter(Organizations!D:D,Organizations!A:A=A11))"),"Colony Capital - (now DigitalBridge) — Founder and former Executive Chairman/CEO
Colony Starwood Homes - Founder (rental real estate)
Trump Inaugural Committee - (2017) — Chairman
U.S. Ambassador to Turkey - Current
U.S. Special Envoy for Syria and Iraq -"&amp;" Current")</f>
        <v>Colony Capital - (now DigitalBridge) — Founder and former Executive Chairman/CEO
Colony Starwood Homes - Founder (rental real estate)
Trump Inaugural Committee - (2017) — Chairman
U.S. Ambassador to Turkey - Current
U.S. Special Envoy for Syria and Iraq - Current</v>
      </c>
      <c r="H11" s="18" t="s">
        <v>132</v>
      </c>
      <c r="I11" s="20" t="s">
        <v>133</v>
      </c>
      <c r="J11" s="18"/>
      <c r="K11" s="19" t="s">
        <v>134</v>
      </c>
      <c r="L11" s="19" t="s">
        <v>135</v>
      </c>
    </row>
    <row r="12" ht="162.0" customHeight="1">
      <c r="A12" s="18" t="s">
        <v>136</v>
      </c>
      <c r="B12" s="18" t="s">
        <v>98</v>
      </c>
      <c r="C12" s="18" t="s">
        <v>137</v>
      </c>
      <c r="D12" s="18" t="s">
        <v>138</v>
      </c>
      <c r="E12" s="18" t="s">
        <v>139</v>
      </c>
      <c r="F12" s="18" t="s">
        <v>67</v>
      </c>
      <c r="G12" s="18" t="str">
        <f>IFERROR(__xludf.DUMMYFUNCTION("textjoin(char(10),1,filter(Organizations!D:D,Organizations!A:A=A12))"),"Ministry of Economic Development, Russia - Former Deputy Minister (2012–2014)
St. Petersburg International Economic Forum - Former Chairman of the Board
Ozon - Former Managing Director (2021–2024)
Alliance of Pension Funds / Association of Retail Companie"&amp;"s - Former head
Cyberus Foundation - (cybersecurity development) — Partner
Basic Element - Former employee
Russian Union of Industrialists and Entrepreneurs - Former employee")</f>
        <v>Ministry of Economic Development, Russia - Former Deputy Minister (2012–2014)
St. Petersburg International Economic Forum - Former Chairman of the Board
Ozon - Former Managing Director (2021–2024)
Alliance of Pension Funds / Association of Retail Companies - Former head
Cyberus Foundation - (cybersecurity development) — Partner
Basic Element - Former employee
Russian Union of Industrialists and Entrepreneurs - Former employee</v>
      </c>
      <c r="H12" s="18" t="s">
        <v>140</v>
      </c>
      <c r="I12" s="18" t="s">
        <v>141</v>
      </c>
      <c r="J12" s="18"/>
      <c r="K12" s="19" t="s">
        <v>142</v>
      </c>
      <c r="L12" s="19" t="s">
        <v>143</v>
      </c>
    </row>
    <row r="13" ht="162.0" customHeight="1">
      <c r="A13" s="18" t="s">
        <v>144</v>
      </c>
      <c r="B13" s="18" t="s">
        <v>73</v>
      </c>
      <c r="C13" s="20" t="s">
        <v>145</v>
      </c>
      <c r="D13" s="18" t="s">
        <v>56</v>
      </c>
      <c r="E13" s="18" t="s">
        <v>146</v>
      </c>
      <c r="F13" s="18" t="s">
        <v>147</v>
      </c>
      <c r="G13" s="18" t="str">
        <f>IFERROR(__xludf.DUMMYFUNCTION("textjoin(char(10),1,filter(Organizations!D:D,Organizations!A:A=A13))"),"Apollo Global Management - Co-founder; largest shareholder (~14%)
Elysium Management - Family office
Former CEO and Chairman, Apollo Global Management (retired March 2021)")</f>
        <v>Apollo Global Management - Co-founder; largest shareholder (~14%)
Elysium Management - Family office
Former CEO and Chairman, Apollo Global Management (retired March 2021)</v>
      </c>
      <c r="H13" s="18" t="s">
        <v>148</v>
      </c>
      <c r="I13" s="20" t="s">
        <v>149</v>
      </c>
      <c r="J13" s="18"/>
      <c r="K13" s="19" t="s">
        <v>150</v>
      </c>
      <c r="L13" s="19" t="s">
        <v>151</v>
      </c>
    </row>
    <row r="14" ht="162.0" customHeight="1">
      <c r="A14" s="18" t="s">
        <v>152</v>
      </c>
      <c r="B14" s="18" t="s">
        <v>98</v>
      </c>
      <c r="C14" s="18" t="s">
        <v>153</v>
      </c>
      <c r="D14" s="18" t="s">
        <v>82</v>
      </c>
      <c r="E14" s="18" t="s">
        <v>154</v>
      </c>
      <c r="F14" s="18" t="s">
        <v>67</v>
      </c>
      <c r="G14" s="18" t="str">
        <f>IFERROR(__xludf.DUMMYFUNCTION("textjoin(char(10),1,filter(Organizations!D:D,Organizations!A:A=A14))"),"Eldridge Industries - Co-founder, Chairman, CEO
Eldridge - (asset manager) — Chairman
Chelsea FC - Co-controlling owner and Chairman
RC Strasbourg - (via BlueCo) — Co-owner
Los Angeles Dodgers - Part owner
Security Benefit - Chairman
Cain International - "&amp;"Co-founder
Metropolis Technologies - Investor
Investments via Eldridge: A24, Fulwell Entertainment, Penske Media (Hollywood Reporter, Variety, Billboard, Rolling Stone), Dick Clark Productions")</f>
        <v>Eldridge Industries - Co-founder, Chairman, CEO
Eldridge - (asset manager) — Chairman
Chelsea FC - Co-controlling owner and Chairman
RC Strasbourg - (via BlueCo) — Co-owner
Los Angeles Dodgers - Part owner
Security Benefit - Chairman
Cain International - Co-founder
Metropolis Technologies - Investor
Investments via Eldridge: A24, Fulwell Entertainment, Penske Media (Hollywood Reporter, Variety, Billboard, Rolling Stone), Dick Clark Productions</v>
      </c>
      <c r="H14" s="18" t="s">
        <v>155</v>
      </c>
      <c r="I14" s="18" t="s">
        <v>156</v>
      </c>
      <c r="J14" s="18"/>
      <c r="K14" s="19" t="s">
        <v>157</v>
      </c>
      <c r="L14" s="19" t="s">
        <v>158</v>
      </c>
    </row>
    <row r="15" ht="162.0" customHeight="1">
      <c r="A15" s="18" t="s">
        <v>159</v>
      </c>
      <c r="B15" s="18" t="s">
        <v>98</v>
      </c>
      <c r="C15" s="18" t="s">
        <v>160</v>
      </c>
      <c r="D15" s="18" t="s">
        <v>82</v>
      </c>
      <c r="E15" s="18" t="s">
        <v>161</v>
      </c>
      <c r="F15" s="18" t="s">
        <v>67</v>
      </c>
      <c r="G15" s="18" t="str">
        <f>IFERROR(__xludf.DUMMYFUNCTION("textjoin(char(10),1,filter(Organizations!D:D,Organizations!A:A=A15))"),"City of Madrid - Mayor (2011–2015)
Municipal Transport Company of Madrid - President (as Mayor)
Union of Latin American Capital Cities - Co-chair
POLIS Network - Chair
Boards of Trustees: Museo del Prado, Royal Theater Foundation, National Heritage
Partid"&amp;"o Popular - Member, National Executive Committee")</f>
        <v>City of Madrid - Mayor (2011–2015)
Municipal Transport Company of Madrid - President (as Mayor)
Union of Latin American Capital Cities - Co-chair
POLIS Network - Chair
Boards of Trustees: Museo del Prado, Royal Theater Foundation, National Heritage
Partido Popular - Member, National Executive Committee</v>
      </c>
      <c r="H15" s="18" t="s">
        <v>162</v>
      </c>
      <c r="I15" s="18" t="s">
        <v>163</v>
      </c>
      <c r="J15" s="18"/>
      <c r="K15" s="19" t="s">
        <v>164</v>
      </c>
      <c r="L15" s="19" t="s">
        <v>165</v>
      </c>
    </row>
    <row r="16" ht="162.0" customHeight="1">
      <c r="A16" s="18" t="s">
        <v>166</v>
      </c>
      <c r="B16" s="18" t="s">
        <v>64</v>
      </c>
      <c r="C16" s="18" t="s">
        <v>167</v>
      </c>
      <c r="D16" s="18" t="s">
        <v>56</v>
      </c>
      <c r="E16" s="18" t="s">
        <v>168</v>
      </c>
      <c r="F16" s="18" t="s">
        <v>169</v>
      </c>
      <c r="G16" s="18" t="str">
        <f>IFERROR(__xludf.DUMMYFUNCTION("textjoin(char(10),1,filter(Organizations!D:D,Organizations!A:A=A16))"),"Bard College - President (since 1975)
American Symphony Orchestra - Music Director and Principal Conductor (since 1992)
The Orchestra Now (TŌN) - Founder and Music Director
Bard SummerScape / Bard Music Festival - Artistic Co-director/Founder
Jerusalem Sy"&amp;"mphony Orchestra - Former Music Director (2003–2011); Conductor Laureate
The Musical Quarterly - Editor
Campus Grafenegg / Grafenegg Academy - (Austria) — Artistic Director")</f>
        <v>Bard College - President (since 1975)
American Symphony Orchestra - Music Director and Principal Conductor (since 1992)
The Orchestra Now (TŌN) - Founder and Music Director
Bard SummerScape / Bard Music Festival - Artistic Co-director/Founder
Jerusalem Symphony Orchestra - Former Music Director (2003–2011); Conductor Laureate
The Musical Quarterly - Editor
Campus Grafenegg / Grafenegg Academy - (Austria) — Artistic Director</v>
      </c>
      <c r="H16" s="18" t="s">
        <v>170</v>
      </c>
      <c r="I16" s="18" t="s">
        <v>171</v>
      </c>
      <c r="J16" s="18"/>
      <c r="K16" s="19" t="s">
        <v>150</v>
      </c>
      <c r="L16" s="19" t="s">
        <v>172</v>
      </c>
    </row>
    <row r="17" ht="162.0" customHeight="1">
      <c r="A17" s="18" t="s">
        <v>173</v>
      </c>
      <c r="B17" s="18" t="s">
        <v>98</v>
      </c>
      <c r="C17" s="18" t="s">
        <v>174</v>
      </c>
      <c r="D17" s="18" t="s">
        <v>82</v>
      </c>
      <c r="E17" s="18" t="s">
        <v>175</v>
      </c>
      <c r="F17" s="18" t="s">
        <v>67</v>
      </c>
      <c r="G17" s="18" t="str">
        <f>IFERROR(__xludf.DUMMYFUNCTION("textjoin(char(10),1,filter(Organizations!D:D,Organizations!A:A=A17))"),"MIT - Y. Eva Tan Professor in Neurotechnology
MIT Center for Neurobiological Engineering - Co-Director
K. Lisa Yang Center for Bionics - Co-Director
Howard Hughes Medical Institute - Investigator
Elemind Technologies, Inc. - Co-founder
SynLife, Inc. - Co-"&amp;"founder
Inner Cosmos - Co-founder
Cognito Therapeutics, Inc. - Co-founder
Expansion Technologies - Co-founder")</f>
        <v>MIT - Y. Eva Tan Professor in Neurotechnology
MIT Center for Neurobiological Engineering - Co-Director
K. Lisa Yang Center for Bionics - Co-Director
Howard Hughes Medical Institute - Investigator
Elemind Technologies, Inc. - Co-founder
SynLife, Inc. - Co-founder
Inner Cosmos - Co-founder
Cognito Therapeutics, Inc. - Co-founder
Expansion Technologies - Co-founder</v>
      </c>
      <c r="H17" s="18" t="s">
        <v>176</v>
      </c>
      <c r="I17" s="18" t="s">
        <v>177</v>
      </c>
      <c r="J17" s="18"/>
      <c r="K17" s="19" t="s">
        <v>178</v>
      </c>
      <c r="L17" s="19" t="s">
        <v>179</v>
      </c>
    </row>
    <row r="18" ht="162.0" customHeight="1">
      <c r="A18" s="18" t="s">
        <v>180</v>
      </c>
      <c r="B18" s="20" t="s">
        <v>54</v>
      </c>
      <c r="C18" s="18" t="s">
        <v>181</v>
      </c>
      <c r="D18" s="18" t="s">
        <v>56</v>
      </c>
      <c r="E18" s="18" t="s">
        <v>182</v>
      </c>
      <c r="F18" s="18" t="s">
        <v>183</v>
      </c>
      <c r="G18" s="18" t="str">
        <f>IFERROR(__xludf.DUMMYFUNCTION("textjoin(char(10),1,filter(Organizations!D:D,Organizations!A:A=A18))"),"Virgin Group - Founder (400+ companies)
Virgin Atlantic, Virgin Australia, Virgin America - Founder
Virgin Records - (sold to EMI) / V2 Records
Virgin Rail Group / Virgin Trains
Virgin Galactic
Virgin Mobile - (sold to NTL/Virgin Media)
Virgin Hotels - , "&amp;"Virgin Holidays, Virgin Limited Edition
Virgin Fuels
Virgin Comics / Virgin Animation - (with Deepak Chopra)
Virgin Unite - Entrepreneurial foundation of Virgin Group
Incubated organizations: The Elders, Carbon War Room, B Team, Branson Centre of Entrepre"&amp;"neurship")</f>
        <v>Virgin Group - Founder (400+ companies)
Virgin Atlantic, Virgin Australia, Virgin America - Founder
Virgin Records - (sold to EMI) / V2 Records
Virgin Rail Group / Virgin Trains
Virgin Galactic
Virgin Mobile - (sold to NTL/Virgin Media)
Virgin Hotels - , Virgin Holidays, Virgin Limited Edition
Virgin Fuels
Virgin Comics / Virgin Animation - (with Deepak Chopra)
Virgin Unite - Entrepreneurial foundation of Virgin Group
Incubated organizations: The Elders, Carbon War Room, B Team, Branson Centre of Entrepreneurship</v>
      </c>
      <c r="H18" s="18" t="s">
        <v>184</v>
      </c>
      <c r="I18" s="18" t="s">
        <v>185</v>
      </c>
      <c r="J18" s="18"/>
      <c r="K18" s="19" t="s">
        <v>186</v>
      </c>
      <c r="L18" s="19" t="s">
        <v>187</v>
      </c>
    </row>
    <row r="19" ht="162.0" customHeight="1">
      <c r="A19" s="18" t="s">
        <v>188</v>
      </c>
      <c r="B19" s="18" t="s">
        <v>54</v>
      </c>
      <c r="C19" s="18" t="s">
        <v>189</v>
      </c>
      <c r="D19" s="18" t="s">
        <v>56</v>
      </c>
      <c r="E19" s="18" t="s">
        <v>190</v>
      </c>
      <c r="F19" s="18" t="s">
        <v>191</v>
      </c>
      <c r="G19" s="18" t="str">
        <f>IFERROR(__xludf.DUMMYFUNCTION("textjoin(char(10),1,filter(Organizations!D:D,Organizations!A:A=A19))"),"World Economic Forum - President and CEO
Former Minister of Foreign Affairs, Norway
Former Minister of Trade and Industry, Norway
Former Minister of Climate and the Environment, Norway
Mesta - (Norway's largest road contracting group) — Former Chairman
Ph"&amp;"ilanthropy Asia Alliance - Director
Bilderberg Meetings - Board/Steering Committee
Statoil - Former Board Member
Norwegian School of Economics - Former Board Member
Harvard International Negotiation Program - Advisory Council
Norwegian Red Cross - Former "&amp;"Secretary-General")</f>
        <v>World Economic Forum - President and CEO
Former Minister of Foreign Affairs, Norway
Former Minister of Trade and Industry, Norway
Former Minister of Climate and the Environment, Norway
Mesta - (Norway's largest road contracting group) — Former Chairman
Philanthropy Asia Alliance - Director
Bilderberg Meetings - Board/Steering Committee
Statoil - Former Board Member
Norwegian School of Economics - Former Board Member
Harvard International Negotiation Program - Advisory Council
Norwegian Red Cross - Former Secretary-General</v>
      </c>
      <c r="H19" s="18" t="s">
        <v>192</v>
      </c>
      <c r="I19" s="18" t="s">
        <v>193</v>
      </c>
      <c r="J19" s="18"/>
      <c r="K19" s="19" t="s">
        <v>194</v>
      </c>
      <c r="L19" s="19" t="s">
        <v>195</v>
      </c>
    </row>
    <row r="20" ht="162.0" customHeight="1">
      <c r="A20" s="18" t="s">
        <v>196</v>
      </c>
      <c r="B20" s="18" t="s">
        <v>98</v>
      </c>
      <c r="C20" s="18" t="s">
        <v>197</v>
      </c>
      <c r="D20" s="18" t="s">
        <v>82</v>
      </c>
      <c r="E20" s="18" t="s">
        <v>154</v>
      </c>
      <c r="F20" s="18" t="s">
        <v>198</v>
      </c>
      <c r="G20" s="18" t="str">
        <f>IFERROR(__xludf.DUMMYFUNCTION("textjoin(char(10),1,filter(Organizations!D:D,Organizations!A:A=A20))"),"Majestas Group - Founder (hospitality holding company)
Billionaire - nightclub/restaurant brand — Creator (1998)
Twiga - nightclub chain — Founder (sold to LMDV Hospitality, 2025)
Billionaire Italian Couture - Founder
Alpine F1 Team - Executive Adviser / "&amp;"de facto Team Principal
Former Team Principal: Benetton F1, Renault F1
Pierrel - (pharmaceuticals) — Former 48.9% owner
Lion in the Sun - holiday resort, Kenya")</f>
        <v>Majestas Group - Founder (hospitality holding company)
Billionaire - nightclub/restaurant brand — Creator (1998)
Twiga - nightclub chain — Founder (sold to LMDV Hospitality, 2025)
Billionaire Italian Couture - Founder
Alpine F1 Team - Executive Adviser / de facto Team Principal
Former Team Principal: Benetton F1, Renault F1
Pierrel - (pharmaceuticals) — Former 48.9% owner
Lion in the Sun - holiday resort, Kenya</v>
      </c>
      <c r="H20" s="18" t="s">
        <v>199</v>
      </c>
      <c r="I20" s="18" t="s">
        <v>200</v>
      </c>
      <c r="J20" s="18"/>
      <c r="K20" s="19" t="s">
        <v>201</v>
      </c>
      <c r="L20" s="19" t="s">
        <v>202</v>
      </c>
    </row>
    <row r="21" ht="162.0" customHeight="1">
      <c r="A21" s="18" t="s">
        <v>203</v>
      </c>
      <c r="B21" s="18" t="s">
        <v>64</v>
      </c>
      <c r="C21" s="18" t="s">
        <v>204</v>
      </c>
      <c r="D21" s="18" t="s">
        <v>56</v>
      </c>
      <c r="E21" s="18" t="s">
        <v>205</v>
      </c>
      <c r="F21" s="18" t="s">
        <v>67</v>
      </c>
      <c r="G21" s="18" t="str">
        <f>IFERROR(__xludf.DUMMYFUNCTION("textjoin(char(10),1,filter(Organizations!D:D,Organizations!A:A=A21))"),"Google - Co-founder
Alphabet Inc. - Co-founder, former President, Board member, and controlling shareholder
Significant philanthropic contributions (&gt;$1.5 billion) to Parkinson's disease research")</f>
        <v>Google - Co-founder
Alphabet Inc. - Co-founder, former President, Board member, and controlling shareholder
Significant philanthropic contributions (&gt;$1.5 billion) to Parkinson's disease research</v>
      </c>
      <c r="H21" s="18" t="s">
        <v>206</v>
      </c>
      <c r="I21" s="20" t="s">
        <v>207</v>
      </c>
      <c r="J21" s="18"/>
      <c r="K21" s="19" t="s">
        <v>208</v>
      </c>
      <c r="L21" s="19" t="s">
        <v>209</v>
      </c>
    </row>
    <row r="22" ht="162.0" customHeight="1">
      <c r="A22" s="18" t="s">
        <v>210</v>
      </c>
      <c r="B22" s="18" t="s">
        <v>54</v>
      </c>
      <c r="C22" s="18" t="s">
        <v>211</v>
      </c>
      <c r="D22" s="18" t="s">
        <v>56</v>
      </c>
      <c r="E22" s="18" t="s">
        <v>212</v>
      </c>
      <c r="F22" s="18" t="s">
        <v>213</v>
      </c>
      <c r="G22" s="18" t="str">
        <f>IFERROR(__xludf.DUMMYFUNCTION("textjoin(char(10),1,filter(Organizations!D:D,Organizations!A:A=A22))"),"Brockman Literary Agency (Brockman Inc.) - Founder
Edge Foundation - (edge.org) — Founder")</f>
        <v>Brockman Literary Agency (Brockman Inc.) - Founder
Edge Foundation - (edge.org) — Founder</v>
      </c>
      <c r="H22" s="18" t="s">
        <v>214</v>
      </c>
      <c r="I22" s="20" t="s">
        <v>215</v>
      </c>
      <c r="J22" s="18"/>
      <c r="K22" s="19" t="s">
        <v>216</v>
      </c>
      <c r="L22" s="19" t="s">
        <v>217</v>
      </c>
    </row>
    <row r="23" ht="162.0" customHeight="1">
      <c r="A23" s="18" t="s">
        <v>218</v>
      </c>
      <c r="B23" s="18" t="s">
        <v>64</v>
      </c>
      <c r="C23" s="18" t="s">
        <v>219</v>
      </c>
      <c r="D23" s="18" t="s">
        <v>138</v>
      </c>
      <c r="E23" s="18" t="s">
        <v>220</v>
      </c>
      <c r="F23" s="18" t="s">
        <v>67</v>
      </c>
      <c r="G23" s="18" t="str">
        <f>IFERROR(__xludf.DUMMYFUNCTION("textjoin(char(10),1,filter(Organizations!D:D,Organizations!A:A=A23))"),"The New York Times - Op-Ed columnist (2003–2025)
The Atlantic - Staff writer (since 2026)
Weave Project - (at Aspen Institute) — Founder")</f>
        <v>The New York Times - Op-Ed columnist (2003–2025)
The Atlantic - Staff writer (since 2026)
Weave Project - (at Aspen Institute) — Founder</v>
      </c>
      <c r="H23" s="18" t="s">
        <v>221</v>
      </c>
      <c r="I23" s="18" t="s">
        <v>222</v>
      </c>
      <c r="J23" s="18"/>
      <c r="K23" s="19" t="s">
        <v>223</v>
      </c>
      <c r="L23" s="19" t="s">
        <v>224</v>
      </c>
    </row>
    <row r="24" ht="162.0" customHeight="1">
      <c r="A24" s="18" t="s">
        <v>225</v>
      </c>
      <c r="B24" s="18" t="s">
        <v>73</v>
      </c>
      <c r="C24" s="18" t="s">
        <v>226</v>
      </c>
      <c r="D24" s="18" t="s">
        <v>56</v>
      </c>
      <c r="E24" s="18" t="s">
        <v>227</v>
      </c>
      <c r="F24" s="18" t="s">
        <v>228</v>
      </c>
      <c r="G24" s="18" t="str">
        <f>IFERROR(__xludf.DUMMYFUNCTION("textjoin(char(10),1,filter(Organizations!D:D,Organizations!A:A=A24))"),"MC2 Model Management - Founder/Owner
Karin Models - Former head
Next Management Corporation - Co-founder
Karin Models - Former Owner/Head (Paris modeling agency; from late 1970s)
MC2 Model Management - Founder (modeling agency, New York/Miami/Tel Aviv; fi"&amp;"nanced by Epstein, 2005; dissolved 2019)
Next Management Corporation / Next Management Company - Co-founder (1988–1989; global modeling agency; with brother Arnaud and Faith Kates)
Karin Models of America - Founder (1995; predecessor to MC2)")</f>
        <v>MC2 Model Management - Founder/Owner
Karin Models - Former head
Next Management Corporation - Co-founder
Karin Models - Former Owner/Head (Paris modeling agency; from late 1970s)
MC2 Model Management - Founder (modeling agency, New York/Miami/Tel Aviv; financed by Epstein, 2005; dissolved 2019)
Next Management Corporation / Next Management Company - Co-founder (1988–1989; global modeling agency; with brother Arnaud and Faith Kates)
Karin Models of America - Founder (1995; predecessor to MC2)</v>
      </c>
      <c r="H24" s="18" t="s">
        <v>229</v>
      </c>
      <c r="I24" s="18" t="s">
        <v>230</v>
      </c>
      <c r="J24" s="18"/>
      <c r="K24" s="19" t="s">
        <v>231</v>
      </c>
      <c r="L24" s="19" t="s">
        <v>232</v>
      </c>
    </row>
    <row r="25" ht="162.0" customHeight="1">
      <c r="A25" s="18" t="s">
        <v>233</v>
      </c>
      <c r="B25" s="18" t="s">
        <v>98</v>
      </c>
      <c r="C25" s="18" t="s">
        <v>234</v>
      </c>
      <c r="D25" s="18" t="s">
        <v>138</v>
      </c>
      <c r="E25" s="18" t="s">
        <v>235</v>
      </c>
      <c r="F25" s="18" t="s">
        <v>236</v>
      </c>
      <c r="G25" s="18" t="str">
        <f>IFERROR(__xludf.DUMMYFUNCTION("textjoin(char(10),1,filter(Organizations!D:D,Organizations!A:A=A25))"),"Central Intelligence Agency (CIA) - Director (2021–2025)
Carnegie Endowment for International Peace - Former President
U.S. Department of State - Former Deputy Secretary of State; Former Under Secretary for Political Affairs
U.S. Ambassador to Russia, U.S"&amp;". Ambassador to Jordan - Former")</f>
        <v>Central Intelligence Agency (CIA) - Director (2021–2025)
Carnegie Endowment for International Peace - Former President
U.S. Department of State - Former Deputy Secretary of State; Former Under Secretary for Political Affairs
U.S. Ambassador to Russia, U.S. Ambassador to Jordan - Former</v>
      </c>
      <c r="H25" s="18" t="s">
        <v>237</v>
      </c>
      <c r="I25" s="18" t="s">
        <v>238</v>
      </c>
      <c r="J25" s="18"/>
      <c r="K25" s="19" t="s">
        <v>239</v>
      </c>
      <c r="L25" s="19" t="s">
        <v>240</v>
      </c>
    </row>
    <row r="26" ht="162.0" customHeight="1">
      <c r="A26" s="18" t="s">
        <v>241</v>
      </c>
      <c r="B26" s="20" t="s">
        <v>54</v>
      </c>
      <c r="C26" s="18" t="s">
        <v>242</v>
      </c>
      <c r="D26" s="18" t="s">
        <v>82</v>
      </c>
      <c r="E26" s="18" t="s">
        <v>243</v>
      </c>
      <c r="F26" s="18" t="s">
        <v>67</v>
      </c>
      <c r="G26" s="18" t="str">
        <f>IFERROR(__xludf.DUMMYFUNCTION("textjoin(char(10),1,filter(Organizations!D:D,Organizations!A:A=A26))"),"Fashion for Relief - Founder (closed 2024)
We Love Brazil - Co-founder (2005)")</f>
        <v>Fashion for Relief - Founder (closed 2024)
We Love Brazil - Co-founder (2005)</v>
      </c>
      <c r="H26" s="18" t="s">
        <v>244</v>
      </c>
      <c r="I26" s="18" t="s">
        <v>245</v>
      </c>
      <c r="J26" s="18"/>
      <c r="K26" s="19" t="s">
        <v>246</v>
      </c>
      <c r="L26" s="19" t="s">
        <v>247</v>
      </c>
    </row>
    <row r="27" ht="162.0" customHeight="1">
      <c r="A27" s="18" t="s">
        <v>248</v>
      </c>
      <c r="B27" s="18" t="s">
        <v>64</v>
      </c>
      <c r="C27" s="18" t="s">
        <v>249</v>
      </c>
      <c r="D27" s="18" t="s">
        <v>82</v>
      </c>
      <c r="E27" s="18" t="s">
        <v>250</v>
      </c>
      <c r="F27" s="18" t="s">
        <v>67</v>
      </c>
      <c r="G27" s="18" t="str">
        <f>IFERROR(__xludf.DUMMYFUNCTION("textjoin(char(10),1,filter(Organizations!D:D,Organizations!A:A=A27))"),"Candy Capital - Founder and CEO (family office)
Candy Ventures - Investment portfolio (fintech, deep tech, biotech, digital media, sports)
One Hyde Park - Co-developer (with brother Christian Candy)")</f>
        <v>Candy Capital - Founder and CEO (family office)
Candy Ventures - Investment portfolio (fintech, deep tech, biotech, digital media, sports)
One Hyde Park - Co-developer (with brother Christian Candy)</v>
      </c>
      <c r="H27" s="18" t="s">
        <v>251</v>
      </c>
      <c r="I27" s="18" t="s">
        <v>252</v>
      </c>
      <c r="J27" s="18"/>
      <c r="K27" s="19" t="s">
        <v>253</v>
      </c>
      <c r="L27" s="19" t="s">
        <v>254</v>
      </c>
    </row>
    <row r="28" ht="162.0" customHeight="1">
      <c r="A28" s="18" t="s">
        <v>255</v>
      </c>
      <c r="B28" s="18" t="s">
        <v>98</v>
      </c>
      <c r="C28" s="18" t="s">
        <v>256</v>
      </c>
      <c r="D28" s="18" t="s">
        <v>257</v>
      </c>
      <c r="E28" s="18" t="s">
        <v>258</v>
      </c>
      <c r="F28" s="18" t="s">
        <v>259</v>
      </c>
      <c r="G28" s="18" t="str">
        <f>IFERROR(__xludf.DUMMYFUNCTION("textjoin(char(10),1,filter(Organizations!D:D,Organizations!A:A=A28))"),"Republic of Cuba - President (1976–2008); Prime Minister (1959–1976)
Communist Party of Cuba - First Secretary (1965–2011)
July 26 Movement - Founder
Committees for the Defense of the Revolution - Founder
Latin American Solidarity Organization (OLAS) - Fo"&amp;"under
Non-Aligned Movement - Secretary-General (2006–2008)")</f>
        <v>Republic of Cuba - President (1976–2008); Prime Minister (1959–1976)
Communist Party of Cuba - First Secretary (1965–2011)
July 26 Movement - Founder
Committees for the Defense of the Revolution - Founder
Latin American Solidarity Organization (OLAS) - Founder
Non-Aligned Movement - Secretary-General (2006–2008)</v>
      </c>
      <c r="H28" s="18" t="s">
        <v>260</v>
      </c>
      <c r="I28" s="18" t="s">
        <v>261</v>
      </c>
      <c r="J28" s="18"/>
      <c r="K28" s="19" t="s">
        <v>262</v>
      </c>
      <c r="L28" s="19" t="s">
        <v>263</v>
      </c>
    </row>
    <row r="29" ht="162.0" customHeight="1">
      <c r="A29" s="18" t="s">
        <v>264</v>
      </c>
      <c r="B29" s="20" t="s">
        <v>54</v>
      </c>
      <c r="C29" s="18" t="s">
        <v>265</v>
      </c>
      <c r="D29" s="18" t="s">
        <v>56</v>
      </c>
      <c r="E29" s="18" t="s">
        <v>266</v>
      </c>
      <c r="F29" s="18" t="s">
        <v>67</v>
      </c>
      <c r="G29" s="18" t="str">
        <f>IFERROR(__xludf.DUMMYFUNCTION("textjoin(char(10),1,filter(Organizations!D:D,Organizations!A:A=A29))"),"Jerusalem Symphony Orchestra - Former Music Director (1998–2001, 2011–2019)
Opera de Rouen - Former Music Director (1991–1994)
Nationaltheater Mannheim - Former Generalmusikdirektor (2004–2007)
Santa Fe Opera - Former Chief Conductor (2010–2012)
Published"&amp;" by Universal Edition (Vienna) - Composer catalog of 250+ works
International orchestral conductor and composer
Jerusalem Symphony Orchestra - Former Music Director
Manila Symphony Orchestra - Former Music Director
Opéra national du Rhin - Former Music Di"&amp;"rector")</f>
        <v>Jerusalem Symphony Orchestra - Former Music Director (1998–2001, 2011–2019)
Opera de Rouen - Former Music Director (1991–1994)
Nationaltheater Mannheim - Former Generalmusikdirektor (2004–2007)
Santa Fe Opera - Former Chief Conductor (2010–2012)
Published by Universal Edition (Vienna) - Composer catalog of 250+ works
International orchestral conductor and composer
Jerusalem Symphony Orchestra - Former Music Director
Manila Symphony Orchestra - Former Music Director
Opéra national du Rhin - Former Music Director</v>
      </c>
      <c r="H29" s="18" t="s">
        <v>267</v>
      </c>
      <c r="I29" s="18" t="s">
        <v>268</v>
      </c>
      <c r="J29" s="18"/>
      <c r="K29" s="19" t="s">
        <v>269</v>
      </c>
      <c r="L29" s="19" t="s">
        <v>270</v>
      </c>
    </row>
    <row r="30" ht="162.0" customHeight="1">
      <c r="A30" s="18" t="s">
        <v>271</v>
      </c>
      <c r="B30" s="18" t="s">
        <v>54</v>
      </c>
      <c r="C30" s="18" t="s">
        <v>272</v>
      </c>
      <c r="D30" s="18" t="s">
        <v>56</v>
      </c>
      <c r="E30" s="18" t="s">
        <v>273</v>
      </c>
      <c r="F30" s="18" t="s">
        <v>274</v>
      </c>
      <c r="G30" s="18" t="str">
        <f>IFERROR(__xludf.DUMMYFUNCTION("textjoin(char(10),1,filter(Organizations!D:D,Organizations!A:A=A30))"),"MIT Department of Linguistics - Co-founder of the graduate program; Institute Professor Emeritus
University of Arizona - Laureate Professor of Linguistics")</f>
        <v>MIT Department of Linguistics - Co-founder of the graduate program; Institute Professor Emeritus
University of Arizona - Laureate Professor of Linguistics</v>
      </c>
      <c r="H30" s="18" t="s">
        <v>275</v>
      </c>
      <c r="I30" s="18" t="s">
        <v>276</v>
      </c>
      <c r="J30" s="18"/>
      <c r="K30" s="19" t="s">
        <v>277</v>
      </c>
      <c r="L30" s="19" t="s">
        <v>278</v>
      </c>
    </row>
    <row r="31" ht="162.0" customHeight="1">
      <c r="A31" s="18" t="s">
        <v>279</v>
      </c>
      <c r="B31" s="18" t="s">
        <v>98</v>
      </c>
      <c r="C31" s="18" t="s">
        <v>280</v>
      </c>
      <c r="D31" s="18" t="s">
        <v>138</v>
      </c>
      <c r="E31" s="18" t="s">
        <v>281</v>
      </c>
      <c r="F31" s="18" t="s">
        <v>67</v>
      </c>
      <c r="G31" s="18" t="str">
        <f>IFERROR(__xludf.DUMMYFUNCTION("textjoin(char(10),1,filter(Organizations!D:D,Organizations!A:A=A31))"),"Chopra Foundation - Founder (2009)
Chopra Center for Wellbeing - Co-founder (1996)
JUST Capital - Co-founder (with Paul Tudor Jones II, 2015)
ISHAR - (Integrative Studies Historical Archive and Repository) — Founder (2014)
Virgin Comics / Virgin Animation"&amp;" - Co-founder (with Richard Branson, 2006)
American Association for Ayurvedic Medicine - Former Founder
Maharishi AyurVeda Products International - Former Founder
Men's Wearhouse - Board member (since 2004)
Gallup Organization - Former Senior Scientist")</f>
        <v>Chopra Foundation - Founder (2009)
Chopra Center for Wellbeing - Co-founder (1996)
JUST Capital - Co-founder (with Paul Tudor Jones II, 2015)
ISHAR - (Integrative Studies Historical Archive and Repository) — Founder (2014)
Virgin Comics / Virgin Animation - Co-founder (with Richard Branson, 2006)
American Association for Ayurvedic Medicine - Former Founder
Maharishi AyurVeda Products International - Former Founder
Men's Wearhouse - Board member (since 2004)
Gallup Organization - Former Senior Scientist</v>
      </c>
      <c r="H31" s="18" t="s">
        <v>282</v>
      </c>
      <c r="I31" s="18" t="s">
        <v>283</v>
      </c>
      <c r="J31" s="18"/>
      <c r="K31" s="19" t="s">
        <v>284</v>
      </c>
      <c r="L31" s="19" t="s">
        <v>285</v>
      </c>
    </row>
    <row r="32" ht="162.0" customHeight="1">
      <c r="A32" s="18" t="s">
        <v>286</v>
      </c>
      <c r="B32" s="18" t="s">
        <v>64</v>
      </c>
      <c r="C32" s="18" t="s">
        <v>287</v>
      </c>
      <c r="D32" s="18" t="s">
        <v>56</v>
      </c>
      <c r="E32" s="18" t="s">
        <v>288</v>
      </c>
      <c r="F32" s="18" t="s">
        <v>289</v>
      </c>
      <c r="G32" s="18" t="str">
        <f>IFERROR(__xludf.DUMMYFUNCTION("textjoin(char(10),1,filter(Organizations!D:D,Organizations!A:A=A32))"),"Harvard Medical School / Wyss Institute - Professor of Genetics; Core Faculty
Co - founded approximately 50 biotechnology companies, including:
Veritas Genetics - (full genome sequencing)
Nebula Genomics - (personal genomics)
Editas Medicine - (gene thera"&amp;"py)
Gen9bio - (synthetic DNA)
Manifold Bio - (protein barcoding)
Knome - (human genomics)
LS9 - (green chemistry)
Joule Unlimited - (solar fuel)
Warp Drive Bio
Alacris
Pathogenica
Co - initiator, Human Genome Project (1984)
Founder, Personal Genome Projec"&amp;"t (2005)")</f>
        <v>Harvard Medical School / Wyss Institute - Professor of Genetics; Core Faculty
Co - founded approximately 50 biotechnology companies, including:
Veritas Genetics - (full genome sequencing)
Nebula Genomics - (personal genomics)
Editas Medicine - (gene therapy)
Gen9bio - (synthetic DNA)
Manifold Bio - (protein barcoding)
Knome - (human genomics)
LS9 - (green chemistry)
Joule Unlimited - (solar fuel)
Warp Drive Bio
Alacris
Pathogenica
Co - initiator, Human Genome Project (1984)
Founder, Personal Genome Project (2005)</v>
      </c>
      <c r="H32" s="18" t="s">
        <v>290</v>
      </c>
      <c r="I32" s="18" t="s">
        <v>291</v>
      </c>
      <c r="J32" s="18"/>
      <c r="K32" s="19" t="s">
        <v>292</v>
      </c>
      <c r="L32" s="19" t="s">
        <v>293</v>
      </c>
    </row>
    <row r="33" ht="162.0" customHeight="1">
      <c r="A33" s="18" t="s">
        <v>294</v>
      </c>
      <c r="B33" s="18" t="s">
        <v>64</v>
      </c>
      <c r="C33" s="18" t="s">
        <v>295</v>
      </c>
      <c r="D33" s="18" t="s">
        <v>56</v>
      </c>
      <c r="E33" s="18" t="s">
        <v>296</v>
      </c>
      <c r="F33" s="18" t="s">
        <v>297</v>
      </c>
      <c r="G33" s="18" t="str">
        <f>IFERROR(__xludf.DUMMYFUNCTION("textjoin(char(10),1,filter(Organizations!D:D,Organizations!A:A=A33))"),"Russian Federation - Permanent Representative to the United Nations (2006–2017)
Former Ambassador to Belgium (1994 - 1998) and Canada (1998–2003)
Chairman, Senior Officials of the Arctic Council")</f>
        <v>Russian Federation - Permanent Representative to the United Nations (2006–2017)
Former Ambassador to Belgium (1994 - 1998) and Canada (1998–2003)
Chairman, Senior Officials of the Arctic Council</v>
      </c>
      <c r="H33" s="18" t="s">
        <v>298</v>
      </c>
      <c r="I33" s="18" t="s">
        <v>299</v>
      </c>
      <c r="J33" s="18"/>
      <c r="K33" s="19" t="s">
        <v>300</v>
      </c>
      <c r="L33" s="19" t="s">
        <v>301</v>
      </c>
    </row>
    <row r="34" ht="162.0" customHeight="1">
      <c r="A34" s="18" t="s">
        <v>302</v>
      </c>
      <c r="B34" s="18" t="s">
        <v>54</v>
      </c>
      <c r="C34" s="18" t="s">
        <v>303</v>
      </c>
      <c r="D34" s="18" t="s">
        <v>304</v>
      </c>
      <c r="E34" s="18" t="s">
        <v>305</v>
      </c>
      <c r="F34" s="18" t="s">
        <v>306</v>
      </c>
      <c r="G34" s="18" t="str">
        <f>IFERROR(__xludf.DUMMYFUNCTION("textjoin(char(10),1,filter(Organizations!D:D,Organizations!A:A=A34))"),"United States of America - 42nd President (1993–2001)
Clinton Foundation - (Bill, Hillary &amp; Chelsea Clinton Foundation) — Founder
Clinton Global Initiative (CGI) - Founder
Clinton Climate Initiative (CCI) - Founder
Interim Haiti Recovery Commission - Form"&amp;"er head")</f>
        <v>United States of America - 42nd President (1993–2001)
Clinton Foundation - (Bill, Hillary &amp; Chelsea Clinton Foundation) — Founder
Clinton Global Initiative (CGI) - Founder
Clinton Climate Initiative (CCI) - Founder
Interim Haiti Recovery Commission - Former head</v>
      </c>
      <c r="H34" s="18" t="s">
        <v>307</v>
      </c>
      <c r="I34" s="18" t="s">
        <v>308</v>
      </c>
      <c r="J34" s="18"/>
      <c r="K34" s="19" t="s">
        <v>309</v>
      </c>
      <c r="L34" s="19" t="s">
        <v>310</v>
      </c>
    </row>
    <row r="35" ht="162.0" customHeight="1">
      <c r="A35" s="18" t="s">
        <v>311</v>
      </c>
      <c r="B35" s="20" t="s">
        <v>64</v>
      </c>
      <c r="C35" s="18" t="s">
        <v>312</v>
      </c>
      <c r="D35" s="18" t="s">
        <v>82</v>
      </c>
      <c r="E35" s="18" t="s">
        <v>313</v>
      </c>
      <c r="F35" s="18" t="s">
        <v>314</v>
      </c>
      <c r="G35" s="18" t="str">
        <f>IFERROR(__xludf.DUMMYFUNCTION("textjoin(char(10),1,filter(Organizations!D:D,Organizations!A:A=A35))"),"International Museum and Library of the Conjuring Arts - Owner
Musha Cay and the Islands of Copperfield Bay - Owner (~700-acre archipelago, Bahamas)
Project Magic - Founder (rehabilitation program in 1,100+ hospitals)")</f>
        <v>International Museum and Library of the Conjuring Arts - Owner
Musha Cay and the Islands of Copperfield Bay - Owner (~700-acre archipelago, Bahamas)
Project Magic - Founder (rehabilitation program in 1,100+ hospitals)</v>
      </c>
      <c r="H35" s="18" t="s">
        <v>315</v>
      </c>
      <c r="I35" s="18" t="s">
        <v>316</v>
      </c>
      <c r="J35" s="18"/>
      <c r="K35" s="19" t="s">
        <v>223</v>
      </c>
      <c r="L35" s="19" t="s">
        <v>317</v>
      </c>
    </row>
    <row r="36" ht="162.0" customHeight="1">
      <c r="A36" s="18" t="s">
        <v>318</v>
      </c>
      <c r="B36" s="18" t="s">
        <v>98</v>
      </c>
      <c r="C36" s="18" t="s">
        <v>319</v>
      </c>
      <c r="D36" s="18" t="s">
        <v>82</v>
      </c>
      <c r="E36" s="18" t="s">
        <v>320</v>
      </c>
      <c r="F36" s="18" t="s">
        <v>321</v>
      </c>
      <c r="G36" s="18" t="str">
        <f>IFERROR(__xludf.DUMMYFUNCTION("textjoin(char(10),1,filter(Organizations!D:D,Organizations!A:A=A36))"),"Campbell, Silver, Cosby (CSC) Corporation - Co-founder
Tetragrammaton Records - (division of CSC) — Co-founder
William Henry Cosby Jr and Camille Olivia Cosby Foundation - Co-founder")</f>
        <v>Campbell, Silver, Cosby (CSC) Corporation - Co-founder
Tetragrammaton Records - (division of CSC) — Co-founder
William Henry Cosby Jr and Camille Olivia Cosby Foundation - Co-founder</v>
      </c>
      <c r="H36" s="18" t="s">
        <v>322</v>
      </c>
      <c r="I36" s="18" t="s">
        <v>323</v>
      </c>
      <c r="J36" s="18"/>
      <c r="K36" s="19" t="s">
        <v>309</v>
      </c>
      <c r="L36" s="19" t="s">
        <v>324</v>
      </c>
    </row>
    <row r="37" ht="162.0" customHeight="1">
      <c r="A37" s="18" t="s">
        <v>325</v>
      </c>
      <c r="B37" s="18" t="s">
        <v>98</v>
      </c>
      <c r="C37" s="18" t="s">
        <v>326</v>
      </c>
      <c r="D37" s="18" t="s">
        <v>82</v>
      </c>
      <c r="E37" s="18" t="s">
        <v>327</v>
      </c>
      <c r="F37" s="18" t="s">
        <v>67</v>
      </c>
      <c r="G37" s="18" t="str">
        <f>IFERROR(__xludf.DUMMYFUNCTION("textjoin(char(10),1,filter(Organizations!D:D,Organizations!A:A=A37))"),"Richard Dawkins Foundation for Reason and Science - Founder (now a division of Center for Inquiry after 2016 merger)
Center for Inquiry - Board of Directors (post-merger)")</f>
        <v>Richard Dawkins Foundation for Reason and Science - Founder (now a division of Center for Inquiry after 2016 merger)
Center for Inquiry - Board of Directors (post-merger)</v>
      </c>
      <c r="H37" s="18" t="s">
        <v>328</v>
      </c>
      <c r="I37" s="18" t="s">
        <v>329</v>
      </c>
      <c r="J37" s="18"/>
      <c r="K37" s="19" t="s">
        <v>186</v>
      </c>
      <c r="L37" s="19" t="s">
        <v>330</v>
      </c>
    </row>
    <row r="38" ht="162.0" customHeight="1">
      <c r="A38" s="18" t="s">
        <v>331</v>
      </c>
      <c r="B38" s="18" t="s">
        <v>54</v>
      </c>
      <c r="C38" s="18" t="s">
        <v>332</v>
      </c>
      <c r="D38" s="18" t="s">
        <v>56</v>
      </c>
      <c r="E38" s="18" t="s">
        <v>333</v>
      </c>
      <c r="F38" s="18" t="s">
        <v>334</v>
      </c>
      <c r="G38" s="18" t="str">
        <f>IFERROR(__xludf.DUMMYFUNCTION("textjoin(char(10),1,filter(Organizations!D:D,Organizations!A:A=A38))"),"U.S. Virgin Islands - Former Governor (2007–2015)
Government of the U.S. Virgin Islands - Chief executive during tenure")</f>
        <v>U.S. Virgin Islands - Former Governor (2007–2015)
Government of the U.S. Virgin Islands - Chief executive during tenure</v>
      </c>
      <c r="H38" s="18" t="s">
        <v>335</v>
      </c>
      <c r="I38" s="18" t="s">
        <v>336</v>
      </c>
      <c r="J38" s="18"/>
      <c r="K38" s="19" t="s">
        <v>216</v>
      </c>
      <c r="L38" s="19" t="s">
        <v>337</v>
      </c>
    </row>
    <row r="39" ht="162.0" customHeight="1">
      <c r="A39" s="18" t="s">
        <v>338</v>
      </c>
      <c r="B39" s="18" t="s">
        <v>73</v>
      </c>
      <c r="C39" s="18" t="s">
        <v>339</v>
      </c>
      <c r="D39" s="18" t="s">
        <v>56</v>
      </c>
      <c r="E39" s="18" t="s">
        <v>340</v>
      </c>
      <c r="F39" s="18" t="s">
        <v>341</v>
      </c>
      <c r="G39" s="18" t="str">
        <f>IFERROR(__xludf.DUMMYFUNCTION("textjoin(char(10),1,filter(Organizations!D:D,Organizations!A:A=A39))"),"Harvard Law School - Felix Frankfurter Professor of Law Emeritus (1964–2013)
Gatestone Institute - Distinguished Senior Fellow
Private legal practice")</f>
        <v>Harvard Law School - Felix Frankfurter Professor of Law Emeritus (1964–2013)
Gatestone Institute - Distinguished Senior Fellow
Private legal practice</v>
      </c>
      <c r="H39" s="18" t="s">
        <v>342</v>
      </c>
      <c r="I39" s="18" t="s">
        <v>343</v>
      </c>
      <c r="J39" s="18"/>
      <c r="K39" s="19" t="s">
        <v>344</v>
      </c>
      <c r="L39" s="19" t="s">
        <v>345</v>
      </c>
    </row>
    <row r="40" ht="162.0" customHeight="1">
      <c r="A40" s="18" t="s">
        <v>346</v>
      </c>
      <c r="B40" s="20" t="s">
        <v>54</v>
      </c>
      <c r="C40" s="18" t="s">
        <v>347</v>
      </c>
      <c r="D40" s="18" t="s">
        <v>82</v>
      </c>
      <c r="E40" s="18" t="s">
        <v>348</v>
      </c>
      <c r="F40" s="18" t="s">
        <v>67</v>
      </c>
      <c r="G40" s="18" t="str">
        <f>IFERROR(__xludf.DUMMYFUNCTION("textjoin(char(10),1,filter(Organizations!D:D,Organizations!A:A=A40))"),"Day One Ventures - Founder and General Partner (venture capital firm, 2017)
M&amp;A PR Studio - Founder
Former Federal Commissioner/Spokesperson, Nashi (pro - Kremlin youth movement, 2007–2011)
Former VP of Communications, Acronis")</f>
        <v>Day One Ventures - Founder and General Partner (venture capital firm, 2017)
M&amp;A PR Studio - Founder
Former Federal Commissioner/Spokesperson, Nashi (pro - Kremlin youth movement, 2007–2011)
Former VP of Communications, Acronis</v>
      </c>
      <c r="H40" s="18" t="s">
        <v>349</v>
      </c>
      <c r="I40" s="20" t="s">
        <v>350</v>
      </c>
      <c r="J40" s="18"/>
      <c r="K40" s="19" t="s">
        <v>351</v>
      </c>
      <c r="L40" s="19" t="s">
        <v>352</v>
      </c>
    </row>
    <row r="41" ht="162.0" customHeight="1">
      <c r="A41" s="18" t="s">
        <v>353</v>
      </c>
      <c r="B41" s="18" t="s">
        <v>73</v>
      </c>
      <c r="C41" s="18" t="s">
        <v>354</v>
      </c>
      <c r="D41" s="18" t="s">
        <v>56</v>
      </c>
      <c r="E41" s="18" t="s">
        <v>355</v>
      </c>
      <c r="F41" s="18" t="s">
        <v>356</v>
      </c>
      <c r="G41" s="18" t="str">
        <f>IFERROR(__xludf.DUMMYFUNCTION("textjoin(char(10),1,filter(Organizations!D:D,Organizations!A:A=A41))"),"Dubin &amp; Co. LP - Founder and Principal
Highbridge Capital Management - Co-founder (acquired by J.P. Morgan)
Castleton Commodities International (CCI) - Lead shareholder
Engineers Gate LP - Founder
Dubin Family Foundation - Chairman
Robin Hood Foundation -"&amp;" Founding board member")</f>
        <v>Dubin &amp; Co. LP - Founder and Principal
Highbridge Capital Management - Co-founder (acquired by J.P. Morgan)
Castleton Commodities International (CCI) - Lead shareholder
Engineers Gate LP - Founder
Dubin Family Foundation - Chairman
Robin Hood Foundation - Founding board member</v>
      </c>
      <c r="H41" s="18" t="s">
        <v>357</v>
      </c>
      <c r="I41" s="18" t="s">
        <v>358</v>
      </c>
      <c r="J41" s="18"/>
      <c r="K41" s="19" t="s">
        <v>359</v>
      </c>
      <c r="L41" s="19" t="s">
        <v>360</v>
      </c>
    </row>
    <row r="42" ht="162.0" customHeight="1">
      <c r="A42" s="18" t="s">
        <v>361</v>
      </c>
      <c r="B42" s="18" t="s">
        <v>54</v>
      </c>
      <c r="C42" s="18" t="s">
        <v>362</v>
      </c>
      <c r="D42" s="18" t="s">
        <v>56</v>
      </c>
      <c r="E42" s="18" t="s">
        <v>363</v>
      </c>
      <c r="F42" s="18" t="s">
        <v>67</v>
      </c>
      <c r="G42" s="18" t="str">
        <f>IFERROR(__xludf.DUMMYFUNCTION("textjoin(char(10),1,filter(Organizations!D:D,Organizations!A:A=A42))"),"Island Capital Group LLC - Founder, Chairman, and CEO
C-III Capital Partners - CEO
Anubis Advisors - CEO
Island Global Yachting - Chairman
Insignia Financial Group - (NYSE: IFS) — Former Founder, Chairman, and CEO (merged with CBRE in 2003)")</f>
        <v>Island Capital Group LLC - Founder, Chairman, and CEO
C-III Capital Partners - CEO
Anubis Advisors - CEO
Island Global Yachting - Chairman
Insignia Financial Group - (NYSE: IFS) — Former Founder, Chairman, and CEO (merged with CBRE in 2003)</v>
      </c>
      <c r="H42" s="18" t="s">
        <v>364</v>
      </c>
      <c r="I42" s="18" t="s">
        <v>365</v>
      </c>
      <c r="J42" s="18"/>
      <c r="K42" s="19" t="s">
        <v>366</v>
      </c>
      <c r="L42" s="19" t="s">
        <v>367</v>
      </c>
    </row>
    <row r="43" ht="162.0" customHeight="1">
      <c r="A43" s="18" t="s">
        <v>368</v>
      </c>
      <c r="B43" s="18" t="s">
        <v>54</v>
      </c>
      <c r="C43" s="18" t="s">
        <v>369</v>
      </c>
      <c r="D43" s="18" t="s">
        <v>56</v>
      </c>
      <c r="E43" s="18" t="s">
        <v>370</v>
      </c>
      <c r="F43" s="18" t="s">
        <v>371</v>
      </c>
      <c r="G43" s="18" t="str">
        <f>IFERROR(__xludf.DUMMYFUNCTION("textjoin(char(10),1,filter(Organizations!D:D,Organizations!A:A=A43))"),"Children in Crisis - Founder and Life President (1993)
The Sarah Ferguson Foundation - (Toronto) — Founder (2006)
Sarah's Trust - Founder (2020)
Hartmoor LLC - Founder (2006; collapsed 2009)
Key to Freedom - Co-founder (with Prince Andrew, Beatrice, and E"&amp;"ugenie, 2013)
Patron/President: Motor Neurone Disease Association, International Alliance for ALS, and others")</f>
        <v>Children in Crisis - Founder and Life President (1993)
The Sarah Ferguson Foundation - (Toronto) — Founder (2006)
Sarah's Trust - Founder (2020)
Hartmoor LLC - Founder (2006; collapsed 2009)
Key to Freedom - Co-founder (with Prince Andrew, Beatrice, and Eugenie, 2013)
Patron/President: Motor Neurone Disease Association, International Alliance for ALS, and others</v>
      </c>
      <c r="H43" s="18" t="s">
        <v>372</v>
      </c>
      <c r="I43" s="18" t="s">
        <v>373</v>
      </c>
      <c r="J43" s="18"/>
      <c r="K43" s="19" t="s">
        <v>374</v>
      </c>
      <c r="L43" s="19" t="s">
        <v>375</v>
      </c>
    </row>
    <row r="44" ht="162.0" customHeight="1">
      <c r="A44" s="18" t="s">
        <v>376</v>
      </c>
      <c r="B44" s="20" t="s">
        <v>54</v>
      </c>
      <c r="C44" s="18" t="s">
        <v>377</v>
      </c>
      <c r="D44" s="18" t="s">
        <v>56</v>
      </c>
      <c r="E44" s="18" t="s">
        <v>378</v>
      </c>
      <c r="F44" s="18" t="s">
        <v>379</v>
      </c>
      <c r="G44" s="18" t="str">
        <f>IFERROR(__xludf.DUMMYFUNCTION("textjoin(char(10),1,filter(Organizations!D:D,Organizations!A:A=A44))"),"Microsoft - Co-founder
Bill &amp; Melinda Gates Foundation - Co-chair
Breakthrough Energy - Founder
Cascade Investment LLC - Founder (manages family office and foundation investments)
TerraPower - Co-founder (advanced nuclear energy)
BENlabs - (formerly Corbi"&amp;"s) — Significant equity holder
Gates Foundation Trust - Major shareholdings in Ecolab, Walmart, Coca-Cola Femsa, Waste Connections, and others")</f>
        <v>Microsoft - Co-founder
Bill &amp; Melinda Gates Foundation - Co-chair
Breakthrough Energy - Founder
Cascade Investment LLC - Founder (manages family office and foundation investments)
TerraPower - Co-founder (advanced nuclear energy)
BENlabs - (formerly Corbis) — Significant equity holder
Gates Foundation Trust - Major shareholdings in Ecolab, Walmart, Coca-Cola Femsa, Waste Connections, and others</v>
      </c>
      <c r="H44" s="18" t="s">
        <v>380</v>
      </c>
      <c r="I44" s="20" t="s">
        <v>381</v>
      </c>
      <c r="J44" s="18"/>
      <c r="K44" s="19" t="s">
        <v>309</v>
      </c>
      <c r="L44" s="19" t="s">
        <v>382</v>
      </c>
    </row>
    <row r="45" ht="162.0" customHeight="1">
      <c r="A45" s="18" t="s">
        <v>383</v>
      </c>
      <c r="B45" s="18" t="s">
        <v>64</v>
      </c>
      <c r="C45" s="18" t="s">
        <v>384</v>
      </c>
      <c r="D45" s="18" t="s">
        <v>56</v>
      </c>
      <c r="E45" s="18" t="s">
        <v>385</v>
      </c>
      <c r="F45" s="20" t="s">
        <v>386</v>
      </c>
      <c r="G45" s="18" t="str">
        <f>IFERROR(__xludf.DUMMYFUNCTION("textjoin(char(10),1,filter(Organizations!D:D,Organizations!A:A=A45))"),"Yale University - Professor of Computer Science
Mirror Worlds Technologies - Chief Scientist
National Council of the Arts - Member")</f>
        <v>Yale University - Professor of Computer Science
Mirror Worlds Technologies - Chief Scientist
National Council of the Arts - Member</v>
      </c>
      <c r="H45" s="18" t="s">
        <v>387</v>
      </c>
      <c r="I45" s="18" t="s">
        <v>388</v>
      </c>
      <c r="J45" s="18"/>
      <c r="K45" s="19" t="s">
        <v>223</v>
      </c>
      <c r="L45" s="19" t="s">
        <v>389</v>
      </c>
    </row>
    <row r="46" ht="162.0" customHeight="1">
      <c r="A46" s="18" t="s">
        <v>390</v>
      </c>
      <c r="B46" s="18" t="s">
        <v>98</v>
      </c>
      <c r="C46" s="18" t="s">
        <v>391</v>
      </c>
      <c r="D46" s="18" t="s">
        <v>82</v>
      </c>
      <c r="E46" s="18" t="s">
        <v>327</v>
      </c>
      <c r="F46" s="18" t="s">
        <v>67</v>
      </c>
      <c r="G46" s="18" t="str">
        <f>IFERROR(__xludf.DUMMYFUNCTION("textjoin(char(10),1,filter(Organizations!D:D,Organizations!A:A=A46))"),"Joe Gibbs Racing (JGR) - Founder and Owner (1992)
Harris Blitzer Sports &amp; Entertainment (HBSE) - Limited Partner
Pro Football Hall of Fame - inductee; former head coach of Washington NFL franchise")</f>
        <v>Joe Gibbs Racing (JGR) - Founder and Owner (1992)
Harris Blitzer Sports &amp; Entertainment (HBSE) - Limited Partner
Pro Football Hall of Fame - inductee; former head coach of Washington NFL franchise</v>
      </c>
      <c r="H46" s="18" t="s">
        <v>392</v>
      </c>
      <c r="I46" s="18" t="s">
        <v>393</v>
      </c>
      <c r="J46" s="18"/>
      <c r="K46" s="19" t="s">
        <v>394</v>
      </c>
      <c r="L46" s="19" t="s">
        <v>395</v>
      </c>
    </row>
    <row r="47" ht="162.0" customHeight="1">
      <c r="A47" s="18" t="s">
        <v>396</v>
      </c>
      <c r="B47" s="18" t="s">
        <v>98</v>
      </c>
      <c r="C47" s="18" t="s">
        <v>397</v>
      </c>
      <c r="D47" s="18" t="s">
        <v>82</v>
      </c>
      <c r="E47" s="18" t="s">
        <v>327</v>
      </c>
      <c r="F47" s="18" t="s">
        <v>67</v>
      </c>
      <c r="G47" s="18" t="str">
        <f>IFERROR(__xludf.DUMMYFUNCTION("textjoin(char(10),1,filter(Organizations!D:D,Organizations!A:A=A47))"),"NYU Stern School of Business - Professor of Ethical Leadership
Ethical Systems - Founder (2011)
Heterodox Academy - Co-founder (2015)
Let Grow - Co-founder (2017)
Constructive Dialogue Institute - Co-founder (2017)
After Babel - Publisher (Substack)")</f>
        <v>NYU Stern School of Business - Professor of Ethical Leadership
Ethical Systems - Founder (2011)
Heterodox Academy - Co-founder (2015)
Let Grow - Co-founder (2017)
Constructive Dialogue Institute - Co-founder (2017)
After Babel - Publisher (Substack)</v>
      </c>
      <c r="H47" s="18" t="s">
        <v>398</v>
      </c>
      <c r="I47" s="18" t="s">
        <v>399</v>
      </c>
      <c r="J47" s="18"/>
      <c r="K47" s="19" t="s">
        <v>400</v>
      </c>
      <c r="L47" s="19" t="s">
        <v>401</v>
      </c>
    </row>
    <row r="48" ht="162.0" customHeight="1">
      <c r="A48" s="18" t="s">
        <v>402</v>
      </c>
      <c r="B48" s="18" t="s">
        <v>64</v>
      </c>
      <c r="C48" s="18" t="s">
        <v>403</v>
      </c>
      <c r="D48" s="18" t="s">
        <v>56</v>
      </c>
      <c r="E48" s="18" t="s">
        <v>404</v>
      </c>
      <c r="F48" s="18" t="s">
        <v>405</v>
      </c>
      <c r="G48" s="18" t="str">
        <f>IFERROR(__xludf.DUMMYFUNCTION("textjoin(char(10),1,filter(Organizations!D:D,Organizations!A:A=A48))"),"Apollo Global Management - Co-founder
Harris Blitzer Sports &amp; Entertainment (HBSE) - Founder and Managing Partner
26North - Founder (alternative assets firm, 2022)
Philadelphia 76ers - Managing Partner
New Jersey Devils - Managing Partner
Washington Comma"&amp;"nders - Managing Partner
Crystal Palace FC - General Partner
Joe Gibbs Racing - Minority stakeholder
Harris Philanthropies - Founder (2014)")</f>
        <v>Apollo Global Management - Co-founder
Harris Blitzer Sports &amp; Entertainment (HBSE) - Founder and Managing Partner
26North - Founder (alternative assets firm, 2022)
Philadelphia 76ers - Managing Partner
New Jersey Devils - Managing Partner
Washington Commanders - Managing Partner
Crystal Palace FC - General Partner
Joe Gibbs Racing - Minority stakeholder
Harris Philanthropies - Founder (2014)</v>
      </c>
      <c r="H48" s="18" t="s">
        <v>406</v>
      </c>
      <c r="I48" s="20" t="s">
        <v>407</v>
      </c>
      <c r="J48" s="18"/>
      <c r="K48" s="19" t="s">
        <v>408</v>
      </c>
      <c r="L48" s="19" t="s">
        <v>409</v>
      </c>
    </row>
    <row r="49" ht="162.0" customHeight="1">
      <c r="A49" s="18" t="s">
        <v>410</v>
      </c>
      <c r="B49" s="18" t="s">
        <v>98</v>
      </c>
      <c r="C49" s="18" t="s">
        <v>411</v>
      </c>
      <c r="D49" s="18" t="s">
        <v>82</v>
      </c>
      <c r="E49" s="18" t="s">
        <v>327</v>
      </c>
      <c r="F49" s="18" t="s">
        <v>412</v>
      </c>
      <c r="G49" s="18" t="str">
        <f>IFERROR(__xludf.DUMMYFUNCTION("textjoin(char(10),1,filter(Organizations!D:D,Organizations!A:A=A49))"),"Waking Up - (meditation app and platform) — Founder and CEO
Making Sense - podcast — Host
Project Reason - Co-founder (non-profit promoting science and secularism)")</f>
        <v>Waking Up - (meditation app and platform) — Founder and CEO
Making Sense - podcast — Host
Project Reason - Co-founder (non-profit promoting science and secularism)</v>
      </c>
      <c r="H49" s="18" t="s">
        <v>413</v>
      </c>
      <c r="I49" s="18" t="s">
        <v>414</v>
      </c>
      <c r="J49" s="18"/>
      <c r="K49" s="19" t="s">
        <v>415</v>
      </c>
      <c r="L49" s="19" t="s">
        <v>409</v>
      </c>
    </row>
    <row r="50" ht="162.0" customHeight="1">
      <c r="A50" s="18" t="s">
        <v>416</v>
      </c>
      <c r="B50" s="20" t="s">
        <v>54</v>
      </c>
      <c r="C50" s="18" t="s">
        <v>417</v>
      </c>
      <c r="D50" s="18" t="s">
        <v>56</v>
      </c>
      <c r="E50" s="18" t="s">
        <v>418</v>
      </c>
      <c r="F50" s="18" t="s">
        <v>419</v>
      </c>
      <c r="G50" s="18" t="str">
        <f>IFERROR(__xludf.DUMMYFUNCTION("textjoin(char(10),1,filter(Organizations!D:D,Organizations!A:A=A50))"),"LinkedIn - Co-founder (2003)
Greylock Partners - Partner (since 2009)
PayPal - Former Executive Vice President; Founding Board Member
Microsoft - Board of Directors
Board Director: Aurora, Entrepreneur First, Inflection, Nauto
Non - profit boards: Kiva, M"&amp;"ozilla Corporation, Endeavor, Do Something")</f>
        <v>LinkedIn - Co-founder (2003)
Greylock Partners - Partner (since 2009)
PayPal - Former Executive Vice President; Founding Board Member
Microsoft - Board of Directors
Board Director: Aurora, Entrepreneur First, Inflection, Nauto
Non - profit boards: Kiva, Mozilla Corporation, Endeavor, Do Something</v>
      </c>
      <c r="H50" s="18" t="s">
        <v>420</v>
      </c>
      <c r="I50" s="18" t="s">
        <v>421</v>
      </c>
      <c r="J50" s="18"/>
      <c r="K50" s="19" t="s">
        <v>422</v>
      </c>
      <c r="L50" s="19" t="s">
        <v>423</v>
      </c>
    </row>
    <row r="51" ht="162.0" customHeight="1">
      <c r="A51" s="18" t="s">
        <v>424</v>
      </c>
      <c r="B51" s="18" t="s">
        <v>98</v>
      </c>
      <c r="C51" s="18" t="s">
        <v>425</v>
      </c>
      <c r="D51" s="18" t="s">
        <v>82</v>
      </c>
      <c r="E51" s="18" t="s">
        <v>327</v>
      </c>
      <c r="F51" s="18" t="s">
        <v>67</v>
      </c>
      <c r="G51" s="18" t="str">
        <f>IFERROR(__xludf.DUMMYFUNCTION("textjoin(char(10),1,filter(Organizations!D:D,Organizations!A:A=A51))"),"Museum of the Rockies - Former Curator of Paleontology (retired 2016); the museum's paleontology curator position is now named the ""John R. Horner Curator of Paleontology"" in his honor
Montana State University - Regents Professor of Paleontology (Emerit"&amp;"us)
Chapman University - Presidential Fellow (post-retirement role)")</f>
        <v>Museum of the Rockies - Former Curator of Paleontology (retired 2016); the museum's paleontology curator position is now named the "John R. Horner Curator of Paleontology" in his honor
Montana State University - Regents Professor of Paleontology (Emeritus)
Chapman University - Presidential Fellow (post-retirement role)</v>
      </c>
      <c r="H51" s="18" t="s">
        <v>426</v>
      </c>
      <c r="I51" s="18" t="s">
        <v>427</v>
      </c>
      <c r="J51" s="18"/>
      <c r="K51" s="19" t="s">
        <v>428</v>
      </c>
      <c r="L51" s="19" t="s">
        <v>429</v>
      </c>
    </row>
    <row r="52" ht="162.0" customHeight="1">
      <c r="A52" s="18" t="s">
        <v>430</v>
      </c>
      <c r="B52" s="18" t="s">
        <v>73</v>
      </c>
      <c r="C52" s="18" t="s">
        <v>431</v>
      </c>
      <c r="D52" s="18" t="s">
        <v>56</v>
      </c>
      <c r="E52" s="18" t="s">
        <v>432</v>
      </c>
      <c r="F52" s="18" t="s">
        <v>433</v>
      </c>
      <c r="G52" s="18" t="str">
        <f>IFERROR(__xludf.DUMMYFUNCTION("textjoin(char(10),1,filter(Organizations!D:D,Organizations!A:A=A52))"),"MIT Media Lab - Former Director (2011–2019; resigned over Epstein ties)
Neoteny Co., Ltd. - Founder &amp; CEO (venture capital firm, Tokyo; 1999–2015)
Neoteny Labs - General Partner (2009–present)
Digital Garage - Co-founder (one of Japan's first web companie"&amp;"s)
Creative Commons - Former Board Chair and Chief Executive
Gelephu Investment and Development Corporation (GIDC), Bhutan - Board Chair (2024–present)
Gelephu Mindfulness City, Bhutan - Board Member (2024–present)
Happiness Capital (Hong Kong) - Non-Exec"&amp;"utive Board Chair (2022–present)
gmjp (web3 fund) - Director (2022–present)
Chiba Institute of Technology - President
Artificial Intelligence Development Council, Republic of Kazakhstan - Member (2025–present)
Former board memberships: - The New York Time"&amp;"s Company (2012–2019), Sony Corporation (2013–2017), MacArthur Foundation (2012–2019), Knight Foundation (2011–2019), Japan Society, ICANN, Mozilla Foundation, Akili Interactive Labs, Oblong Industries, PureTech Health (former Chairman), Safecast (co-foun"&amp;"der)
Early - stage investor in: Twitter, Kickstarter, Flickr, Formlabs, littleBits")</f>
        <v>MIT Media Lab - Former Director (2011–2019; resigned over Epstein ties)
Neoteny Co., Ltd. - Founder &amp; CEO (venture capital firm, Tokyo; 1999–2015)
Neoteny Labs - General Partner (2009–present)
Digital Garage - Co-founder (one of Japan's first web companies)
Creative Commons - Former Board Chair and Chief Executive
Gelephu Investment and Development Corporation (GIDC), Bhutan - Board Chair (2024–present)
Gelephu Mindfulness City, Bhutan - Board Member (2024–present)
Happiness Capital (Hong Kong) - Non-Executive Board Chair (2022–present)
gmjp (web3 fund) - Director (2022–present)
Chiba Institute of Technology - President
Artificial Intelligence Development Council, Republic of Kazakhstan - Member (2025–present)
Former board memberships: - The New York Times Company (2012–2019), Sony Corporation (2013–2017), MacArthur Foundation (2012–2019), Knight Foundation (2011–2019), Japan Society, ICANN, Mozilla Foundation, Akili Interactive Labs, Oblong Industries, PureTech Health (former Chairman), Safecast (co-founder)
Early - stage investor in: Twitter, Kickstarter, Flickr, Formlabs, littleBits</v>
      </c>
      <c r="H52" s="18" t="s">
        <v>434</v>
      </c>
      <c r="I52" s="18" t="s">
        <v>435</v>
      </c>
      <c r="J52" s="18"/>
      <c r="K52" s="19" t="s">
        <v>436</v>
      </c>
      <c r="L52" s="19" t="s">
        <v>437</v>
      </c>
    </row>
    <row r="53" ht="162.0" customHeight="1">
      <c r="A53" s="18" t="s">
        <v>438</v>
      </c>
      <c r="B53" s="18" t="s">
        <v>54</v>
      </c>
      <c r="C53" s="18" t="s">
        <v>439</v>
      </c>
      <c r="D53" s="18" t="s">
        <v>56</v>
      </c>
      <c r="E53" s="18" t="s">
        <v>440</v>
      </c>
      <c r="F53" s="18" t="s">
        <v>441</v>
      </c>
      <c r="G53" s="18" t="str">
        <f>IFERROR(__xludf.DUMMYFUNCTION("textjoin(char(10),1,filter(Organizations!D:D,Organizations!A:A=A53))"),"Council of Europe - Former Secretary General (2009–2019)
Norwegian Nobel Committee - Former Chairman (2009–2015)
Norwegian Labour Party - Former leader; served as Prime Minister of Norway (1996–1997)
Storting (Norwegian Parliament) - Former President (200"&amp;"5–2009)
Ministry of Foreign Affairs (Norway) - Former Minister of Foreign Affairs (2000–2001)")</f>
        <v>Council of Europe - Former Secretary General (2009–2019)
Norwegian Nobel Committee - Former Chairman (2009–2015)
Norwegian Labour Party - Former leader; served as Prime Minister of Norway (1996–1997)
Storting (Norwegian Parliament) - Former President (2005–2009)
Ministry of Foreign Affairs (Norway) - Former Minister of Foreign Affairs (2000–2001)</v>
      </c>
      <c r="H53" s="18" t="s">
        <v>442</v>
      </c>
      <c r="I53" s="18" t="s">
        <v>443</v>
      </c>
      <c r="J53" s="18"/>
      <c r="K53" s="19" t="s">
        <v>444</v>
      </c>
      <c r="L53" s="19" t="s">
        <v>445</v>
      </c>
    </row>
    <row r="54" ht="162.0" customHeight="1">
      <c r="A54" s="18" t="s">
        <v>446</v>
      </c>
      <c r="B54" s="18" t="s">
        <v>64</v>
      </c>
      <c r="C54" s="18" t="s">
        <v>447</v>
      </c>
      <c r="D54" s="18" t="s">
        <v>56</v>
      </c>
      <c r="E54" s="18" t="s">
        <v>448</v>
      </c>
      <c r="F54" s="18" t="s">
        <v>449</v>
      </c>
      <c r="G54" s="18" t="str">
        <f>IFERROR(__xludf.DUMMYFUNCTION("textjoin(char(10),1,filter(Organizations!D:D,Organizations!A:A=A54))"),"NJF Holdings - Founder (international finance and investment company)
NJF Capital - Founder (venture capital arm of NJF Holdings, investing in deep-tech, fintech, healthcare)
Infront Sports &amp; Media - Former Vice Chairman and major investor; helped build a"&amp;"nd sell to Bridgepoint Capital (2011)
United in Sports - Founder (private equity fund focused on sports/media, ~€250M)
Shanghai Really Sports - Former investor
Portfolio investments include: OWKIN, Deep Genomics, Bolt, Songza (acquired by Google), Dollar "&amp;"Shave Club (acquired by Unilever), RelateIQ (acquired by Salesforce)")</f>
        <v>NJF Holdings - Founder (international finance and investment company)
NJF Capital - Founder (venture capital arm of NJF Holdings, investing in deep-tech, fintech, healthcare)
Infront Sports &amp; Media - Former Vice Chairman and major investor; helped build and sell to Bridgepoint Capital (2011)
United in Sports - Founder (private equity fund focused on sports/media, ~€250M)
Shanghai Really Sports - Former investor
Portfolio investments include: OWKIN, Deep Genomics, Bolt, Songza (acquired by Google), Dollar Shave Club (acquired by Unilever), RelateIQ (acquired by Salesforce)</v>
      </c>
      <c r="H54" s="18" t="s">
        <v>450</v>
      </c>
      <c r="I54" s="18" t="s">
        <v>451</v>
      </c>
      <c r="J54" s="18"/>
      <c r="K54" s="19" t="s">
        <v>452</v>
      </c>
      <c r="L54" s="19" t="s">
        <v>453</v>
      </c>
    </row>
    <row r="55" ht="162.0" customHeight="1">
      <c r="A55" s="18" t="s">
        <v>454</v>
      </c>
      <c r="B55" s="20" t="s">
        <v>54</v>
      </c>
      <c r="C55" s="18" t="s">
        <v>455</v>
      </c>
      <c r="D55" s="18" t="s">
        <v>56</v>
      </c>
      <c r="E55" s="18" t="s">
        <v>456</v>
      </c>
      <c r="F55" s="18" t="s">
        <v>457</v>
      </c>
      <c r="G55" s="18" t="str">
        <f>IFERROR(__xludf.DUMMYFUNCTION("textjoin(char(10),1,filter(Organizations!D:D,Organizations!A:A=A55))"),"Ministry of Foreign Affairs (Norway) - Career diplomat
Permanent Mission of Norway to the United Nations - Former Permanent Representative (2019–2023)
Norwegian Embassy to the United Kingdom - Former Ambassador (2014–2018)
Norwegian Embassy to Israel - Fo"&amp;"rmer Ambassador (2001–2004)
Role in the secret negotiations that produced the Oslo Accords between Israel and the PLO")</f>
        <v>Ministry of Foreign Affairs (Norway) - Career diplomat
Permanent Mission of Norway to the United Nations - Former Permanent Representative (2019–2023)
Norwegian Embassy to the United Kingdom - Former Ambassador (2014–2018)
Norwegian Embassy to Israel - Former Ambassador (2001–2004)
Role in the secret negotiations that produced the Oslo Accords between Israel and the PLO</v>
      </c>
      <c r="H55" s="18" t="s">
        <v>458</v>
      </c>
      <c r="I55" s="18" t="s">
        <v>459</v>
      </c>
      <c r="J55" s="18"/>
      <c r="K55" s="19" t="s">
        <v>460</v>
      </c>
      <c r="L55" s="19" t="s">
        <v>461</v>
      </c>
    </row>
    <row r="56" ht="162.0" customHeight="1">
      <c r="A56" s="18" t="s">
        <v>462</v>
      </c>
      <c r="B56" s="18" t="s">
        <v>54</v>
      </c>
      <c r="C56" s="18" t="s">
        <v>463</v>
      </c>
      <c r="D56" s="18" t="s">
        <v>56</v>
      </c>
      <c r="E56" s="18" t="s">
        <v>464</v>
      </c>
      <c r="F56" s="18" t="s">
        <v>67</v>
      </c>
      <c r="G56" s="18" t="str">
        <f>IFERROR(__xludf.DUMMYFUNCTION("textjoin(char(10),1,filter(Organizations!D:D,Organizations!A:A=A56))"),"DEKA Research &amp; Development Corporation - Founder &amp; President (1982–present)
FIRST (For Inspiration and Recognition of Science and Technology) - Founder (1989)
FIRST Global - Founder
Advanced Regenerative Manufacturing Institute (ARMI) / BioFabUSA - Found"&amp;"er
AutoSyringe, Inc. - Founder (sold to Baxter Healthcare)
Inventor of the Segway and iBOT mobility system")</f>
        <v>DEKA Research &amp; Development Corporation - Founder &amp; President (1982–present)
FIRST (For Inspiration and Recognition of Science and Technology) - Founder (1989)
FIRST Global - Founder
Advanced Regenerative Manufacturing Institute (ARMI) / BioFabUSA - Founder
AutoSyringe, Inc. - Founder (sold to Baxter Healthcare)
Inventor of the Segway and iBOT mobility system</v>
      </c>
      <c r="H56" s="18" t="s">
        <v>465</v>
      </c>
      <c r="I56" s="18" t="s">
        <v>466</v>
      </c>
      <c r="J56" s="18"/>
      <c r="K56" s="19" t="s">
        <v>467</v>
      </c>
      <c r="L56" s="19" t="s">
        <v>468</v>
      </c>
    </row>
    <row r="57" ht="162.0" customHeight="1">
      <c r="A57" s="18" t="s">
        <v>469</v>
      </c>
      <c r="B57" s="18" t="s">
        <v>54</v>
      </c>
      <c r="C57" s="18" t="s">
        <v>470</v>
      </c>
      <c r="D57" s="18" t="s">
        <v>56</v>
      </c>
      <c r="E57" s="18" t="s">
        <v>471</v>
      </c>
      <c r="F57" s="20" t="s">
        <v>472</v>
      </c>
      <c r="G57" s="18" t="str">
        <f>IFERROR(__xludf.DUMMYFUNCTION("textjoin(char(10),1,filter(Organizations!D:D,Organizations!A:A=A57))"),"Paul, Weiss, Rifkind, Wharton &amp; Garrison LLP - Chairman (since 2008)
Legal Action Center - Chairman
Continental Grain Company - Director (Chair, Audit and Risk Committee)
Board/Trustee roles: Mount Sinai Hospital, New York - Presbyterian Hospital, Lincoln"&amp;" Center for the Performing Arts, Partnership for New York City, Paley Center for Media, Junior Achievement Worldwide, Union College, Jewish Museum, Cold Spring Harbor Laboratory, Whitney Museum, and 40+ other public interest and educational boards")</f>
        <v>Paul, Weiss, Rifkind, Wharton &amp; Garrison LLP - Chairman (since 2008)
Legal Action Center - Chairman
Continental Grain Company - Director (Chair, Audit and Risk Committee)
Board/Trustee roles: Mount Sinai Hospital, New York - Presbyterian Hospital, Lincoln Center for the Performing Arts, Partnership for New York City, Paley Center for Media, Junior Achievement Worldwide, Union College, Jewish Museum, Cold Spring Harbor Laboratory, Whitney Museum, and 40+ other public interest and educational boards</v>
      </c>
      <c r="H57" s="18" t="s">
        <v>473</v>
      </c>
      <c r="I57" s="18" t="s">
        <v>474</v>
      </c>
      <c r="J57" s="18"/>
      <c r="K57" s="19" t="s">
        <v>475</v>
      </c>
      <c r="L57" s="19" t="s">
        <v>476</v>
      </c>
    </row>
    <row r="58" ht="162.0" customHeight="1">
      <c r="A58" s="18" t="s">
        <v>477</v>
      </c>
      <c r="B58" s="18" t="s">
        <v>64</v>
      </c>
      <c r="C58" s="18" t="s">
        <v>478</v>
      </c>
      <c r="D58" s="18" t="s">
        <v>82</v>
      </c>
      <c r="E58" s="18" t="s">
        <v>479</v>
      </c>
      <c r="F58" s="18" t="s">
        <v>480</v>
      </c>
      <c r="G58" s="18" t="str">
        <f>IFERROR(__xludf.DUMMYFUNCTION("textjoin(char(10),1,filter(Organizations!D:D,Organizations!A:A=A58))"),"U.S. Department of Health and Human Services - Secretary (nominated by President Trump)
Children's Health Defense - Founder &amp; former Chairman/Chief Litigation Counsel
Waterkeeper Alliance - Co-founder &amp; former President
Kennedy &amp; Madonna LLP - Co-founder "&amp;"(environmental law firm)
Keeper Springs - Co-founder (bottled water company)
VantagePoint Capital Partners - Former Venture Partner/Senior Advisor
Former board/advisory roles with various environmental and health organizations")</f>
        <v>U.S. Department of Health and Human Services - Secretary (nominated by President Trump)
Children's Health Defense - Founder &amp; former Chairman/Chief Litigation Counsel
Waterkeeper Alliance - Co-founder &amp; former President
Kennedy &amp; Madonna LLP - Co-founder (environmental law firm)
Keeper Springs - Co-founder (bottled water company)
VantagePoint Capital Partners - Former Venture Partner/Senior Advisor
Former board/advisory roles with various environmental and health organizations</v>
      </c>
      <c r="H58" s="18" t="s">
        <v>481</v>
      </c>
      <c r="I58" s="18" t="s">
        <v>482</v>
      </c>
      <c r="J58" s="18"/>
      <c r="K58" s="19" t="s">
        <v>483</v>
      </c>
      <c r="L58" s="19" t="s">
        <v>484</v>
      </c>
    </row>
    <row r="59" ht="162.0" customHeight="1">
      <c r="A59" s="18" t="s">
        <v>485</v>
      </c>
      <c r="B59" s="18" t="s">
        <v>98</v>
      </c>
      <c r="C59" s="18" t="s">
        <v>486</v>
      </c>
      <c r="D59" s="18" t="s">
        <v>138</v>
      </c>
      <c r="E59" s="18" t="s">
        <v>487</v>
      </c>
      <c r="F59" s="18" t="s">
        <v>67</v>
      </c>
      <c r="G59" s="18" t="str">
        <f>IFERROR(__xludf.DUMMYFUNCTION("textjoin(char(10),1,filter(Organizations!D:D,Organizations!A:A=A59))"),"Jeff Koons, LLC - Founder (fine art studio, New York)
Antiquity Stone / Advanced Stone Technologies - Owner (stone fabrication facility, Pennsylvania; acquired 2012)")</f>
        <v>Jeff Koons, LLC - Founder (fine art studio, New York)
Antiquity Stone / Advanced Stone Technologies - Owner (stone fabrication facility, Pennsylvania; acquired 2012)</v>
      </c>
      <c r="H59" s="18" t="s">
        <v>488</v>
      </c>
      <c r="I59" s="18" t="s">
        <v>489</v>
      </c>
      <c r="J59" s="18"/>
      <c r="K59" s="19" t="s">
        <v>490</v>
      </c>
      <c r="L59" s="19" t="s">
        <v>491</v>
      </c>
    </row>
    <row r="60" ht="162.0" customHeight="1">
      <c r="A60" s="18" t="s">
        <v>492</v>
      </c>
      <c r="B60" s="18" t="s">
        <v>73</v>
      </c>
      <c r="C60" s="18" t="s">
        <v>493</v>
      </c>
      <c r="D60" s="18" t="s">
        <v>56</v>
      </c>
      <c r="E60" s="18" t="s">
        <v>494</v>
      </c>
      <c r="F60" s="18" t="s">
        <v>495</v>
      </c>
      <c r="G60" s="18" t="str">
        <f>IFERROR(__xludf.DUMMYFUNCTION("textjoin(char(10),1,filter(Organizations!D:D,Organizations!A:A=A60))"),"Active Learning Sciences, Inc. - Founder, President &amp; CEO
Minerva University (Minerva Schools) - Founding Dean &amp; Chief Academic Officer (left 2018)
Foundry College - Founder &amp; Chief Academic Officer (online two-year college)
Former Director, Center for Ad"&amp;"vanced Study in the Behavioral Sciences (Stanford)")</f>
        <v>Active Learning Sciences, Inc. - Founder, President &amp; CEO
Minerva University (Minerva Schools) - Founding Dean &amp; Chief Academic Officer (left 2018)
Foundry College - Founder &amp; Chief Academic Officer (online two-year college)
Former Director, Center for Advanced Study in the Behavioral Sciences (Stanford)</v>
      </c>
      <c r="H60" s="18" t="s">
        <v>496</v>
      </c>
      <c r="I60" s="18" t="s">
        <v>497</v>
      </c>
      <c r="J60" s="18"/>
      <c r="K60" s="19" t="s">
        <v>498</v>
      </c>
      <c r="L60" s="19" t="s">
        <v>499</v>
      </c>
    </row>
    <row r="61" ht="162.0" customHeight="1">
      <c r="A61" s="18" t="s">
        <v>500</v>
      </c>
      <c r="B61" s="18" t="s">
        <v>64</v>
      </c>
      <c r="C61" s="20" t="s">
        <v>501</v>
      </c>
      <c r="D61" s="18" t="s">
        <v>138</v>
      </c>
      <c r="E61" s="18" t="s">
        <v>502</v>
      </c>
      <c r="F61" s="18" t="s">
        <v>503</v>
      </c>
      <c r="G61" s="18" t="str">
        <f>IFERROR(__xludf.DUMMYFUNCTION("textjoin(char(10),1,filter(Organizations!D:D,Organizations!A:A=A61))"),"Activision (later Activision Blizzard) - Former CEO (1991–2023; retired after Microsoft acquisition)
Call of Duty Endowment - Co-founder &amp; Co-Chairman (veterans' nonprofit)
Leisure Concepts - Former CEO
Berggruen Institute - Board member")</f>
        <v>Activision (later Activision Blizzard) - Former CEO (1991–2023; retired after Microsoft acquisition)
Call of Duty Endowment - Co-founder &amp; Co-Chairman (veterans' nonprofit)
Leisure Concepts - Former CEO
Berggruen Institute - Board member</v>
      </c>
      <c r="H61" s="18" t="s">
        <v>504</v>
      </c>
      <c r="I61" s="18" t="s">
        <v>505</v>
      </c>
      <c r="J61" s="18"/>
      <c r="K61" s="19" t="s">
        <v>506</v>
      </c>
      <c r="L61" s="19" t="s">
        <v>507</v>
      </c>
    </row>
    <row r="62" ht="162.0" customHeight="1">
      <c r="A62" s="18" t="s">
        <v>508</v>
      </c>
      <c r="B62" s="18" t="s">
        <v>64</v>
      </c>
      <c r="C62" s="18" t="s">
        <v>509</v>
      </c>
      <c r="D62" s="18" t="s">
        <v>56</v>
      </c>
      <c r="E62" s="18" t="s">
        <v>510</v>
      </c>
      <c r="F62" s="18" t="s">
        <v>511</v>
      </c>
      <c r="G62" s="18" t="str">
        <f>IFERROR(__xludf.DUMMYFUNCTION("textjoin(char(10),1,filter(Organizations!D:D,Organizations!A:A=A62))"),"Origins Project (ASU) - Founder &amp; Former Director (2008–2018)
Former Foundation Professor, Arizona State University School of Earth and Space Exploration
Author and public intellectual in theoretical physics")</f>
        <v>Origins Project (ASU) - Founder &amp; Former Director (2008–2018)
Former Foundation Professor, Arizona State University School of Earth and Space Exploration
Author and public intellectual in theoretical physics</v>
      </c>
      <c r="H62" s="18" t="s">
        <v>512</v>
      </c>
      <c r="I62" s="18" t="s">
        <v>513</v>
      </c>
      <c r="J62" s="18"/>
      <c r="K62" s="19" t="s">
        <v>514</v>
      </c>
      <c r="L62" s="19" t="s">
        <v>515</v>
      </c>
    </row>
    <row r="63" ht="162.0" customHeight="1">
      <c r="A63" s="18" t="s">
        <v>516</v>
      </c>
      <c r="B63" s="18" t="s">
        <v>73</v>
      </c>
      <c r="C63" s="18" t="s">
        <v>517</v>
      </c>
      <c r="D63" s="18" t="s">
        <v>56</v>
      </c>
      <c r="E63" s="18" t="s">
        <v>518</v>
      </c>
      <c r="F63" s="18" t="s">
        <v>519</v>
      </c>
      <c r="G63" s="18" t="str">
        <f>IFERROR(__xludf.DUMMYFUNCTION("textjoin(char(10),1,filter(Organizations!D:D,Organizations!A:A=A63))"),"Ministry of Foreign Affairs, Slovak Republic - Former Minister (2009–2010, 2012–2020)
United Nations General Assembly (72nd Session) - Former President (2017–2018)
International Community in Bosnia and Herzegovina - Former High Representative / EU Special"&amp;" Representative (2007–2009)
OSCE - Former Chairperson-in-Office (2019)
European External Action Service - First Managing Director for Europe &amp; Central Asia (2010–2012)
EU Special Representative, Belgrade-Pristina Dialogue - Served until 2025
European Univ"&amp;"ersity Institute - Adjunct Professor")</f>
        <v>Ministry of Foreign Affairs, Slovak Republic - Former Minister (2009–2010, 2012–2020)
United Nations General Assembly (72nd Session) - Former President (2017–2018)
International Community in Bosnia and Herzegovina - Former High Representative / EU Special Representative (2007–2009)
OSCE - Former Chairperson-in-Office (2019)
European External Action Service - First Managing Director for Europe &amp; Central Asia (2010–2012)
EU Special Representative, Belgrade-Pristina Dialogue - Served until 2025
European University Institute - Adjunct Professor</v>
      </c>
      <c r="H63" s="18" t="s">
        <v>520</v>
      </c>
      <c r="I63" s="18" t="s">
        <v>521</v>
      </c>
      <c r="J63" s="18"/>
      <c r="K63" s="19" t="s">
        <v>522</v>
      </c>
      <c r="L63" s="19" t="s">
        <v>523</v>
      </c>
    </row>
    <row r="64" ht="162.0" customHeight="1">
      <c r="A64" s="18" t="s">
        <v>524</v>
      </c>
      <c r="B64" s="18" t="s">
        <v>98</v>
      </c>
      <c r="C64" s="18" t="s">
        <v>525</v>
      </c>
      <c r="D64" s="18" t="s">
        <v>82</v>
      </c>
      <c r="E64" s="18" t="s">
        <v>250</v>
      </c>
      <c r="F64" s="18" t="s">
        <v>67</v>
      </c>
      <c r="G64" s="18" t="str">
        <f>IFERROR(__xludf.DUMMYFUNCTION("textjoin(char(10),1,filter(Organizations!D:D,Organizations!A:A=A64))"),"Cirque du Soleil - Co-founder (1984; sold all shares by 2020)
One Drop Foundation - Founder (clean water access charity)
Lune Rouge - Founder (entertainment/technology investment company)")</f>
        <v>Cirque du Soleil - Co-founder (1984; sold all shares by 2020)
One Drop Foundation - Founder (clean water access charity)
Lune Rouge - Founder (entertainment/technology investment company)</v>
      </c>
      <c r="H64" s="18" t="s">
        <v>526</v>
      </c>
      <c r="I64" s="18" t="s">
        <v>527</v>
      </c>
      <c r="J64" s="18"/>
      <c r="K64" s="19" t="s">
        <v>528</v>
      </c>
      <c r="L64" s="19" t="s">
        <v>529</v>
      </c>
    </row>
    <row r="65" ht="162.0" customHeight="1">
      <c r="A65" s="18" t="s">
        <v>530</v>
      </c>
      <c r="B65" s="18" t="s">
        <v>64</v>
      </c>
      <c r="C65" s="18" t="s">
        <v>531</v>
      </c>
      <c r="D65" s="18" t="s">
        <v>82</v>
      </c>
      <c r="E65" s="18" t="s">
        <v>532</v>
      </c>
      <c r="F65" s="18" t="s">
        <v>67</v>
      </c>
      <c r="G65" s="18" t="str">
        <f>IFERROR(__xludf.DUMMYFUNCTION("textjoin(char(10),1,filter(Organizations!D:D,Organizations!A:A=A65))"),"Ohio State University Wexner Medical Center - Professor and former Chair, Department of Obstetrics &amp; Gynecology
Former consultant to New York Strategies Group")</f>
        <v>Ohio State University Wexner Medical Center - Professor and former Chair, Department of Obstetrics &amp; Gynecology
Former consultant to New York Strategies Group</v>
      </c>
      <c r="H65" s="18" t="s">
        <v>533</v>
      </c>
      <c r="I65" s="18" t="s">
        <v>534</v>
      </c>
      <c r="J65" s="18"/>
      <c r="K65" s="19" t="s">
        <v>535</v>
      </c>
      <c r="L65" s="19" t="s">
        <v>536</v>
      </c>
    </row>
    <row r="66" ht="162.0" customHeight="1">
      <c r="A66" s="18" t="s">
        <v>537</v>
      </c>
      <c r="B66" s="18" t="s">
        <v>73</v>
      </c>
      <c r="C66" s="18" t="s">
        <v>538</v>
      </c>
      <c r="D66" s="18" t="s">
        <v>56</v>
      </c>
      <c r="E66" s="18" t="s">
        <v>539</v>
      </c>
      <c r="F66" s="20" t="s">
        <v>540</v>
      </c>
      <c r="G66" s="18" t="str">
        <f>IFERROR(__xludf.DUMMYFUNCTION("textjoin(char(10),1,filter(Organizations!D:D,Organizations!A:A=A66))"),"SPI (Syndicat des Producteurs Indépendants) - Former Managing Director (resigned February 2026)
Pyrtanée LLC - Co-established with Jeffrey Epstein in 2016 (U.S. Virgin Islands; art investment firm)
Series Mania - Board member
Fondation Le Refuge - Board m"&amp;"ember (LGBT+ youth charity)
PFDM - Member (French association promoting women in media)
Former executive at Warner Bros. France")</f>
        <v>SPI (Syndicat des Producteurs Indépendants) - Former Managing Director (resigned February 2026)
Pyrtanée LLC - Co-established with Jeffrey Epstein in 2016 (U.S. Virgin Islands; art investment firm)
Series Mania - Board member
Fondation Le Refuge - Board member (LGBT+ youth charity)
PFDM - Member (French association promoting women in media)
Former executive at Warner Bros. France</v>
      </c>
      <c r="H66" s="18" t="s">
        <v>541</v>
      </c>
      <c r="I66" s="18" t="s">
        <v>542</v>
      </c>
      <c r="J66" s="18"/>
      <c r="K66" s="19" t="s">
        <v>543</v>
      </c>
      <c r="L66" s="19" t="s">
        <v>544</v>
      </c>
    </row>
    <row r="67" ht="162.0" customHeight="1">
      <c r="A67" s="18" t="s">
        <v>545</v>
      </c>
      <c r="B67" s="18" t="s">
        <v>54</v>
      </c>
      <c r="C67" s="18" t="s">
        <v>546</v>
      </c>
      <c r="D67" s="18" t="s">
        <v>56</v>
      </c>
      <c r="E67" s="18" t="s">
        <v>547</v>
      </c>
      <c r="F67" s="18" t="s">
        <v>548</v>
      </c>
      <c r="G67" s="18" t="str">
        <f>IFERROR(__xludf.DUMMYFUNCTION("textjoin(char(10),1,filter(Organizations!D:D,Organizations!A:A=A67))"),"Institut du Monde Arabe (Arab World Institute), Paris - Former President (resigned 2026 after Epstein revelations)
French National Assembly - Former member
Government of France - Former Minister of Culture (1981–1986, 1988–1993); Former Minister of Educat"&amp;"ion (2000–2002)")</f>
        <v>Institut du Monde Arabe (Arab World Institute), Paris - Former President (resigned 2026 after Epstein revelations)
French National Assembly - Former member
Government of France - Former Minister of Culture (1981–1986, 1988–1993); Former Minister of Education (2000–2002)</v>
      </c>
      <c r="H67" s="18" t="s">
        <v>549</v>
      </c>
      <c r="I67" s="18" t="s">
        <v>550</v>
      </c>
      <c r="J67" s="18"/>
      <c r="K67" s="19" t="s">
        <v>428</v>
      </c>
      <c r="L67" s="19" t="s">
        <v>544</v>
      </c>
    </row>
    <row r="68" ht="162.0" customHeight="1">
      <c r="A68" s="18" t="s">
        <v>551</v>
      </c>
      <c r="B68" s="18" t="s">
        <v>54</v>
      </c>
      <c r="C68" s="18" t="s">
        <v>552</v>
      </c>
      <c r="D68" s="18" t="s">
        <v>82</v>
      </c>
      <c r="E68" s="18" t="s">
        <v>553</v>
      </c>
      <c r="F68" s="18" t="s">
        <v>67</v>
      </c>
      <c r="G68" s="18" t="str">
        <f>IFERROR(__xludf.DUMMYFUNCTION("textjoin(char(10),1,filter(Organizations!D:D,Organizations!A:A=A68))"),"Estée Lauder Companies - Major shareholder (~3.8% Class B shares); Former Chairman of Estée Lauder International; Former Executive Vice President
Clinique Laboratories LLC - Chairman (since 1993)
World Jewish Congress - President (since 2009)
Neue Galerie"&amp;" New York - Founder &amp; President (2001)
Ronald S. Lauder Foundation - Founder &amp; Chairman/President (since 1987)
Central European Media Enterprises - Founder &amp; Former Non-Executive Chairman (1994)
RWL Water LLC - Founder &amp; Chairman (2010)
PanAfrican Investm"&amp;"ent Co. LLC - Founder &amp; Managing Member
Alzheimer's Drug Discovery Foundation - Co-Chairman (co-founder)
Brandeis University - Chairman, Board of Trustees
Jewish National Fund United States - Director/Board Member
Former Chairman, Board of Trustees, The M"&amp;"useum of Modern Art")</f>
        <v>Estée Lauder Companies - Major shareholder (~3.8% Class B shares); Former Chairman of Estée Lauder International; Former Executive Vice President
Clinique Laboratories LLC - Chairman (since 1993)
World Jewish Congress - President (since 2009)
Neue Galerie New York - Founder &amp; President (2001)
Ronald S. Lauder Foundation - Founder &amp; Chairman/President (since 1987)
Central European Media Enterprises - Founder &amp; Former Non-Executive Chairman (1994)
RWL Water LLC - Founder &amp; Chairman (2010)
PanAfrican Investment Co. LLC - Founder &amp; Managing Member
Alzheimer's Drug Discovery Foundation - Co-Chairman (co-founder)
Brandeis University - Chairman, Board of Trustees
Jewish National Fund United States - Director/Board Member
Former Chairman, Board of Trustees, The Museum of Modern Art</v>
      </c>
      <c r="H68" s="18" t="s">
        <v>554</v>
      </c>
      <c r="I68" s="18" t="s">
        <v>555</v>
      </c>
      <c r="J68" s="18"/>
      <c r="K68" s="19" t="s">
        <v>556</v>
      </c>
      <c r="L68" s="19" t="s">
        <v>557</v>
      </c>
    </row>
    <row r="69" ht="162.0" customHeight="1">
      <c r="A69" s="18" t="s">
        <v>558</v>
      </c>
      <c r="B69" s="18" t="s">
        <v>98</v>
      </c>
      <c r="C69" s="18" t="s">
        <v>559</v>
      </c>
      <c r="D69" s="18" t="s">
        <v>560</v>
      </c>
      <c r="E69" s="18" t="s">
        <v>561</v>
      </c>
      <c r="F69" s="18" t="s">
        <v>67</v>
      </c>
      <c r="G69" s="18" t="str">
        <f>IFERROR(__xludf.DUMMYFUNCTION("textjoin(char(10),1,filter(Organizations!D:D,Organizations!A:A=A69))"),"Russia - Minister of Foreign Affairs (since 2004)
Russian International Affairs Council (RIAC) - Chairman of the Board of Trustees
Former Permanent Representative of Russia to the United Nations and UN Security Council
Former Chairman, Committee of Minist"&amp;"ers, Council of Europe")</f>
        <v>Russia - Minister of Foreign Affairs (since 2004)
Russian International Affairs Council (RIAC) - Chairman of the Board of Trustees
Former Permanent Representative of Russia to the United Nations and UN Security Council
Former Chairman, Committee of Ministers, Council of Europe</v>
      </c>
      <c r="H69" s="18" t="s">
        <v>562</v>
      </c>
      <c r="I69" s="18" t="s">
        <v>563</v>
      </c>
      <c r="J69" s="18"/>
      <c r="K69" s="19" t="s">
        <v>208</v>
      </c>
      <c r="L69" s="19" t="s">
        <v>564</v>
      </c>
    </row>
    <row r="70" ht="162.0" customHeight="1">
      <c r="A70" s="18" t="s">
        <v>565</v>
      </c>
      <c r="B70" s="18" t="s">
        <v>64</v>
      </c>
      <c r="C70" s="18" t="s">
        <v>566</v>
      </c>
      <c r="D70" s="18" t="s">
        <v>56</v>
      </c>
      <c r="E70" s="18" t="s">
        <v>567</v>
      </c>
      <c r="F70" s="18" t="s">
        <v>568</v>
      </c>
      <c r="G70" s="18" t="str">
        <f>IFERROR(__xludf.DUMMYFUNCTION("textjoin(char(10),1,filter(Organizations!D:D,Organizations!A:A=A70))"),"Cantor Fitzgerald - Former Chairman &amp; CEO (transferred ownership to trusts for his children in 2025)
BGC Group / BGC Partners - Founder (2004; divested all ownership/voting interests in 2025)
Newmark Group, Inc. - Led acquisition (commercial real estate a"&amp;"dvisory)
Cantor Commercial Real Estate (CCRE) - Founder/overseer
Cantor Ventures - Founder (venture capital arm)
U.S. Department of Commerce - Secretary of Commerce (appointed January 2025 by President Trump)")</f>
        <v>Cantor Fitzgerald - Former Chairman &amp; CEO (transferred ownership to trusts for his children in 2025)
BGC Group / BGC Partners - Founder (2004; divested all ownership/voting interests in 2025)
Newmark Group, Inc. - Led acquisition (commercial real estate advisory)
Cantor Commercial Real Estate (CCRE) - Founder/overseer
Cantor Ventures - Founder (venture capital arm)
U.S. Department of Commerce - Secretary of Commerce (appointed January 2025 by President Trump)</v>
      </c>
      <c r="H70" s="18" t="s">
        <v>569</v>
      </c>
      <c r="I70" s="18" t="s">
        <v>570</v>
      </c>
      <c r="J70" s="18"/>
      <c r="K70" s="19" t="s">
        <v>571</v>
      </c>
      <c r="L70" s="19" t="s">
        <v>572</v>
      </c>
    </row>
    <row r="71" ht="162.0" customHeight="1">
      <c r="A71" s="18" t="s">
        <v>573</v>
      </c>
      <c r="B71" s="18" t="s">
        <v>73</v>
      </c>
      <c r="C71" s="18" t="s">
        <v>574</v>
      </c>
      <c r="D71" s="18" t="s">
        <v>56</v>
      </c>
      <c r="E71" s="18" t="s">
        <v>575</v>
      </c>
      <c r="F71" s="18" t="s">
        <v>576</v>
      </c>
      <c r="G71" s="18" t="str">
        <f>IFERROR(__xludf.DUMMYFUNCTION("textjoin(char(10),1,filter(Organizations!D:D,Organizations!A:A=A71))"),"Global Counsel - Co-founder (lobbying/strategic advisory firm, London, 2010)
UK Government - Former Secretary of State for Trade and Industry; Former Secretary of State for Northern Ireland; Former Secretary of State for Business, Innovation and Skills
Eu"&amp;"ropean Commission - Former European Commissioner for Trade (2004–2008)
House of Lords - Former Life Peer (resigned from Labour Party and House of Lords in early February 2026)
Lazard - Former Senior Adviser (2011–2022)
Deutsche Bank's Alfred Herrhausen Ge"&amp;"sellschaft - Former Board of Trustees member (2013)
Lobbying clients included: Shein, Shell, Palantir, Alibaba, TikTok")</f>
        <v>Global Counsel - Co-founder (lobbying/strategic advisory firm, London, 2010)
UK Government - Former Secretary of State for Trade and Industry; Former Secretary of State for Northern Ireland; Former Secretary of State for Business, Innovation and Skills
European Commission - Former European Commissioner for Trade (2004–2008)
House of Lords - Former Life Peer (resigned from Labour Party and House of Lords in early February 2026)
Lazard - Former Senior Adviser (2011–2022)
Deutsche Bank's Alfred Herrhausen Gesellschaft - Former Board of Trustees member (2013)
Lobbying clients included: Shein, Shell, Palantir, Alibaba, TikTok</v>
      </c>
      <c r="H71" s="18" t="s">
        <v>577</v>
      </c>
      <c r="I71" s="20" t="s">
        <v>578</v>
      </c>
      <c r="J71" s="18"/>
      <c r="K71" s="19" t="s">
        <v>95</v>
      </c>
      <c r="L71" s="19" t="s">
        <v>579</v>
      </c>
    </row>
    <row r="72" ht="162.0" customHeight="1">
      <c r="A72" s="18" t="s">
        <v>580</v>
      </c>
      <c r="B72" s="18" t="s">
        <v>73</v>
      </c>
      <c r="C72" s="18" t="s">
        <v>581</v>
      </c>
      <c r="D72" s="18" t="s">
        <v>56</v>
      </c>
      <c r="E72" s="18" t="s">
        <v>582</v>
      </c>
      <c r="F72" s="18" t="s">
        <v>583</v>
      </c>
      <c r="G72" s="18" t="str">
        <f>IFERROR(__xludf.DUMMYFUNCTION("textjoin(char(10),1,filter(Organizations!D:D,Organizations!A:A=A72))"),"TerraMar Project - Founder (ocean conservation nonprofit, 2012; shut down July 2019)
Terramar (UK) - Director (dissolved December 2019)
Max Foundation Tr. - Trustee (private philanthropic foundation)
Oxford United Football Club - Former Director (during R"&amp;"obert Maxwell's ownership)
Former employee at *The European* newspaper (her father's publication)
Former social figure in Kit - Cat Club (women's social club she founded)")</f>
        <v>TerraMar Project - Founder (ocean conservation nonprofit, 2012; shut down July 2019)
Terramar (UK) - Director (dissolved December 2019)
Max Foundation Tr. - Trustee (private philanthropic foundation)
Oxford United Football Club - Former Director (during Robert Maxwell's ownership)
Former employee at *The European* newspaper (her father's publication)
Former social figure in Kit - Cat Club (women's social club she founded)</v>
      </c>
      <c r="H72" s="18" t="s">
        <v>584</v>
      </c>
      <c r="I72" s="18" t="s">
        <v>585</v>
      </c>
      <c r="J72" s="18"/>
      <c r="K72" s="19" t="s">
        <v>586</v>
      </c>
      <c r="L72" s="19" t="s">
        <v>587</v>
      </c>
    </row>
    <row r="73" ht="162.0" customHeight="1">
      <c r="A73" s="18" t="s">
        <v>588</v>
      </c>
      <c r="B73" s="18" t="s">
        <v>64</v>
      </c>
      <c r="C73" s="18" t="s">
        <v>589</v>
      </c>
      <c r="D73" s="18" t="s">
        <v>257</v>
      </c>
      <c r="E73" s="18" t="s">
        <v>590</v>
      </c>
      <c r="F73" s="18" t="s">
        <v>591</v>
      </c>
      <c r="G73" s="18" t="str">
        <f>IFERROR(__xludf.DUMMYFUNCTION("textjoin(char(10),1,filter(Organizations!D:D,Organizations!A:A=A73))"),"Maxwell Communication Corporation (MCC) - Founder/Owner (formerly British Printing and Communication Corporation)
Mirror Group Newspapers - Owner (Daily Mirror, Sunday Mirror, Scottish Daily Record, etc.)
Pergamon Press - Co-founder/Owner (academic publis"&amp;"hing; sold to Elsevier 1991)
Macmillan Inc. - Owner (acquired 1988 for $2.6 billion)
The European - Founder (transnational newspaper)
New York Daily News - Owner (acquired 1991)
Maxwell Foundation - Established in Liechtenstein (1970)
Berlitz Language Sch"&amp;"ools - Owner
Nimbus Records - Owner
Prentice Hall Information Services - Owner
MTV Europe - Half-share owner
Oxford United Football Club - Former Owner
Fleetway Publications - Created from IPC Media acquisition (1987)
M&amp;S Syndicate (ZANU-PF linked) - Mass"&amp;" Media Trust connection
UK Member of Parliament for Buckingham (1964 - 1970)")</f>
        <v>Maxwell Communication Corporation (MCC) - Founder/Owner (formerly British Printing and Communication Corporation)
Mirror Group Newspapers - Owner (Daily Mirror, Sunday Mirror, Scottish Daily Record, etc.)
Pergamon Press - Co-founder/Owner (academic publishing; sold to Elsevier 1991)
Macmillan Inc. - Owner (acquired 1988 for $2.6 billion)
The European - Founder (transnational newspaper)
New York Daily News - Owner (acquired 1991)
Maxwell Foundation - Established in Liechtenstein (1970)
Berlitz Language Schools - Owner
Nimbus Records - Owner
Prentice Hall Information Services - Owner
MTV Europe - Half-share owner
Oxford United Football Club - Former Owner
Fleetway Publications - Created from IPC Media acquisition (1987)
M&amp;S Syndicate (ZANU-PF linked) - Mass Media Trust connection
UK Member of Parliament for Buckingham (1964 - 1970)</v>
      </c>
      <c r="H73" s="18" t="s">
        <v>592</v>
      </c>
      <c r="I73" s="18" t="s">
        <v>593</v>
      </c>
      <c r="J73" s="18"/>
      <c r="K73" s="19" t="s">
        <v>594</v>
      </c>
      <c r="L73" s="19" t="s">
        <v>587</v>
      </c>
    </row>
    <row r="74" ht="162.0" customHeight="1">
      <c r="A74" s="18" t="s">
        <v>595</v>
      </c>
      <c r="B74" s="18" t="s">
        <v>54</v>
      </c>
      <c r="C74" s="18" t="s">
        <v>596</v>
      </c>
      <c r="D74" s="18" t="s">
        <v>56</v>
      </c>
      <c r="E74" s="18" t="s">
        <v>597</v>
      </c>
      <c r="F74" s="18" t="s">
        <v>598</v>
      </c>
      <c r="G74" s="18" t="str">
        <f>IFERROR(__xludf.DUMMYFUNCTION("textjoin(char(10),1,filter(Organizations!D:D,Organizations!A:A=A74))"),"Crown Prince and Crown Princess's Foundation - Co-founder (with Crown Prince Haakon; youth support projects in Norway)
Maverick Collective - Co-founder (with Kate Roberts of PSI; women's global health initiative, 2015)
UNAIDS - International Goodwill Amba"&amp;"ssador (since 2006)
Norwegian Red Cross - Patron
Patron of numerous Norwegian organizations including: Norwegian Library Association, Nynorsk Cultural Centre, Norwegian Council for Mental Health, Norwegian Guide and Scout Association, FOKUS (Forum for Wom"&amp;"en and Development), and many others
Norwegian Royal Family - Crown Princess of Norway (wife of Crown Prince Haakon)")</f>
        <v>Crown Prince and Crown Princess's Foundation - Co-founder (with Crown Prince Haakon; youth support projects in Norway)
Maverick Collective - Co-founder (with Kate Roberts of PSI; women's global health initiative, 2015)
UNAIDS - International Goodwill Ambassador (since 2006)
Norwegian Red Cross - Patron
Patron of numerous Norwegian organizations including: Norwegian Library Association, Nynorsk Cultural Centre, Norwegian Council for Mental Health, Norwegian Guide and Scout Association, FOKUS (Forum for Women and Development), and many others
Norwegian Royal Family - Crown Princess of Norway (wife of Crown Prince Haakon)</v>
      </c>
      <c r="H74" s="18" t="s">
        <v>599</v>
      </c>
      <c r="I74" s="18" t="s">
        <v>600</v>
      </c>
      <c r="J74" s="18"/>
      <c r="K74" s="19" t="s">
        <v>601</v>
      </c>
      <c r="L74" s="19" t="s">
        <v>601</v>
      </c>
    </row>
    <row r="75" ht="162.0" customHeight="1">
      <c r="A75" s="18" t="s">
        <v>602</v>
      </c>
      <c r="B75" s="18" t="s">
        <v>54</v>
      </c>
      <c r="C75" s="18" t="s">
        <v>603</v>
      </c>
      <c r="D75" s="18" t="s">
        <v>56</v>
      </c>
      <c r="E75" s="18" t="s">
        <v>604</v>
      </c>
      <c r="F75" s="18" t="s">
        <v>605</v>
      </c>
      <c r="G75" s="18" t="str">
        <f>IFERROR(__xludf.DUMMYFUNCTION("textjoin(char(10),1,filter(Organizations!D:D,Organizations!A:A=A75))"),"MIT Media Lab - Co-founder (with Nicholas Negroponte)
MIT Artificial Intelligence Laboratory - Co-founder (with John McCarthy)
Thinker Toys - Author and concept developer")</f>
        <v>MIT Media Lab - Co-founder (with Nicholas Negroponte)
MIT Artificial Intelligence Laboratory - Co-founder (with John McCarthy)
Thinker Toys - Author and concept developer</v>
      </c>
      <c r="H75" s="18" t="s">
        <v>606</v>
      </c>
      <c r="I75" s="18" t="s">
        <v>607</v>
      </c>
      <c r="J75" s="18"/>
      <c r="K75" s="19" t="s">
        <v>608</v>
      </c>
      <c r="L75" s="19" t="s">
        <v>609</v>
      </c>
    </row>
    <row r="76" ht="162.0" customHeight="1">
      <c r="A76" s="18" t="s">
        <v>610</v>
      </c>
      <c r="B76" s="18" t="s">
        <v>73</v>
      </c>
      <c r="C76" s="18" t="s">
        <v>611</v>
      </c>
      <c r="D76" s="18" t="s">
        <v>56</v>
      </c>
      <c r="E76" s="18" t="s">
        <v>612</v>
      </c>
      <c r="F76" s="18" t="s">
        <v>613</v>
      </c>
      <c r="G76" s="18" t="str">
        <f>IFERROR(__xludf.DUMMYFUNCTION("textjoin(char(10),1,filter(Organizations!D:D,Organizations!A:A=A76))"),"DLA Piper - Chairman of the Global Board / Chairman Emeritus
The Walt Disney Company - Former Chairman of the Board of Directors (2004–2007)
U.S. Senate - Former Senator from Maine (1980–1995); Senate Majority Leader (1989–1995)
U.S. Special Envoy for Mid"&amp;"dle East Peace - Appointed by President Obama
Northern Ireland Peace Process - Chairman of peace negotiations (Good Friday Agreement)
Queen's University Belfast - Former Chancellor (1999–2009)
International Crisis Group - Former Chairman
ZeniMax Media - F"&amp;"ormer Advisor
Board memberships: FedEx, Xerox, Staples, Unilever, Starwood Hotels and Resorts, Boston Red Sox
Former President, Economic Club of Washington")</f>
        <v>DLA Piper - Chairman of the Global Board / Chairman Emeritus
The Walt Disney Company - Former Chairman of the Board of Directors (2004–2007)
U.S. Senate - Former Senator from Maine (1980–1995); Senate Majority Leader (1989–1995)
U.S. Special Envoy for Middle East Peace - Appointed by President Obama
Northern Ireland Peace Process - Chairman of peace negotiations (Good Friday Agreement)
Queen's University Belfast - Former Chancellor (1999–2009)
International Crisis Group - Former Chairman
ZeniMax Media - Former Advisor
Board memberships: FedEx, Xerox, Staples, Unilever, Starwood Hotels and Resorts, Boston Red Sox
Former President, Economic Club of Washington</v>
      </c>
      <c r="H76" s="18" t="s">
        <v>614</v>
      </c>
      <c r="I76" s="20" t="s">
        <v>615</v>
      </c>
      <c r="J76" s="18"/>
      <c r="K76" s="19" t="s">
        <v>616</v>
      </c>
      <c r="L76" s="19" t="s">
        <v>617</v>
      </c>
    </row>
    <row r="77" ht="162.0" customHeight="1">
      <c r="A77" s="18" t="s">
        <v>618</v>
      </c>
      <c r="B77" s="18" t="s">
        <v>73</v>
      </c>
      <c r="C77" s="18" t="s">
        <v>619</v>
      </c>
      <c r="D77" s="18" t="s">
        <v>56</v>
      </c>
      <c r="E77" s="18" t="s">
        <v>620</v>
      </c>
      <c r="F77" s="18" t="s">
        <v>621</v>
      </c>
      <c r="G77" s="18" t="str">
        <f>IFERROR(__xludf.DUMMYFUNCTION("textjoin(char(10),1,filter(Organizations!D:D,Organizations!A:A=A77))"),"UK Royal Family - Member; son of the late Queen Elizabeth II
Prince Andrew Charitable Trust - Founder (youth support; under investigation by Charity Commission)
Duke of York's Community Initiative - Involvement (formerly Yorkshire Foundation; dissolved 20"&amp;"23–2024)
Inspiring Digital Enterprise Award (iDEA) - Founder
Outward Bound Trust - Former Patron and Former Chairman of Board of Trustees (resigned November 2019)
UK Trade &amp; Investment - Former UK Special Representative for International Trade and Investm"&amp;"ent (2001–2011)
Former patron of: English National Ballet, Royal Philharmonic Orchestra, Middle East Association, Fight for Sight, TeenTech, Catalyst Inc., London Metropolitan University")</f>
        <v>UK Royal Family - Member; son of the late Queen Elizabeth II
Prince Andrew Charitable Trust - Founder (youth support; under investigation by Charity Commission)
Duke of York's Community Initiative - Involvement (formerly Yorkshire Foundation; dissolved 2023–2024)
Inspiring Digital Enterprise Award (iDEA) - Founder
Outward Bound Trust - Former Patron and Former Chairman of Board of Trustees (resigned November 2019)
UK Trade &amp; Investment - Former UK Special Representative for International Trade and Investment (2001–2011)
Former patron of: English National Ballet, Royal Philharmonic Orchestra, Middle East Association, Fight for Sight, TeenTech, Catalyst Inc., London Metropolitan University</v>
      </c>
      <c r="H77" s="18" t="s">
        <v>622</v>
      </c>
      <c r="I77" s="18" t="s">
        <v>623</v>
      </c>
      <c r="J77" s="18"/>
      <c r="K77" s="19" t="s">
        <v>366</v>
      </c>
      <c r="L77" s="19" t="s">
        <v>624</v>
      </c>
    </row>
    <row r="78" ht="162.0" customHeight="1">
      <c r="A78" s="18" t="s">
        <v>625</v>
      </c>
      <c r="B78" s="18" t="s">
        <v>98</v>
      </c>
      <c r="C78" s="18" t="s">
        <v>626</v>
      </c>
      <c r="D78" s="18" t="s">
        <v>257</v>
      </c>
      <c r="E78" s="18" t="s">
        <v>627</v>
      </c>
      <c r="F78" s="18" t="s">
        <v>628</v>
      </c>
      <c r="G78" s="18" t="str">
        <f>IFERROR(__xludf.DUMMYFUNCTION("textjoin(char(10),1,filter(Organizations!D:D,Organizations!A:A=A78))"),"Zimbabwe - President (1987–2017); Prime Minister (1980–1987)
ZANU–PF (Zimbabwe African National Union – Patriotic Front) - Founder/Leader and First Secretary (1980–2017)
ZANU (Zimbabwe African National Union) - Co-founder and President (from 1975)
Organis"&amp;"ation of African Unity - Chairman (1997–1998)
African Union - Chairman (2015–2016)
Non-Aligned Movement - Chairman (1986–1989)")</f>
        <v>Zimbabwe - President (1987–2017); Prime Minister (1980–1987)
ZANU–PF (Zimbabwe African National Union – Patriotic Front) - Founder/Leader and First Secretary (1980–2017)
ZANU (Zimbabwe African National Union) - Co-founder and President (from 1975)
Organisation of African Unity - Chairman (1997–1998)
African Union - Chairman (2015–2016)
Non-Aligned Movement - Chairman (1986–1989)</v>
      </c>
      <c r="H78" s="18" t="s">
        <v>629</v>
      </c>
      <c r="I78" s="18" t="s">
        <v>630</v>
      </c>
      <c r="J78" s="18"/>
      <c r="K78" s="19" t="s">
        <v>594</v>
      </c>
      <c r="L78" s="19" t="s">
        <v>631</v>
      </c>
    </row>
    <row r="79" ht="162.0" customHeight="1">
      <c r="A79" s="18" t="s">
        <v>632</v>
      </c>
      <c r="B79" s="20" t="s">
        <v>54</v>
      </c>
      <c r="C79" s="18" t="s">
        <v>633</v>
      </c>
      <c r="D79" s="18" t="s">
        <v>56</v>
      </c>
      <c r="E79" s="18" t="s">
        <v>634</v>
      </c>
      <c r="F79" s="18" t="s">
        <v>635</v>
      </c>
      <c r="G79" s="18" t="str">
        <f>IFERROR(__xludf.DUMMYFUNCTION("textjoin(char(10),1,filter(Organizations!D:D,Organizations!A:A=A79))"),"Tesla, Inc. - CEO and product architect (joined as early investor 2004; CEO since 2008)
SpaceX - Founder, CEO, and Chief Engineer (2002)
X Corp (formerly Twitter) - Owner (acquired 2022)
xAI - Founder (artificial intelligence company)
The Boring Company -"&amp;" Founder (tunnel infrastructure)
Neuralink - Co-founder (brain-computer interface)
Starlink - Division of SpaceX (satellite internet)
Department of Government Efficiency (DOGE) - Head (advisory role in Trump administration)
Musk Foundation - Chairman (phi"&amp;"lanthropic foundation)
Co - founder, Zip2 (sold to Compaq 1999) and X.com/PayPal (merged, sold to eBay 2002)
Net worth nearing $850 billion as of February 2026")</f>
        <v>Tesla, Inc. - CEO and product architect (joined as early investor 2004; CEO since 2008)
SpaceX - Founder, CEO, and Chief Engineer (2002)
X Corp (formerly Twitter) - Owner (acquired 2022)
xAI - Founder (artificial intelligence company)
The Boring Company - Founder (tunnel infrastructure)
Neuralink - Co-founder (brain-computer interface)
Starlink - Division of SpaceX (satellite internet)
Department of Government Efficiency (DOGE) - Head (advisory role in Trump administration)
Musk Foundation - Chairman (philanthropic foundation)
Co - founder, Zip2 (sold to Compaq 1999) and X.com/PayPal (merged, sold to eBay 2002)
Net worth nearing $850 billion as of February 2026</v>
      </c>
      <c r="H79" s="18" t="s">
        <v>636</v>
      </c>
      <c r="I79" s="18" t="s">
        <v>637</v>
      </c>
      <c r="J79" s="18"/>
      <c r="K79" s="19" t="s">
        <v>638</v>
      </c>
      <c r="L79" s="19" t="s">
        <v>639</v>
      </c>
    </row>
    <row r="80" ht="162.0" customHeight="1">
      <c r="A80" s="18" t="s">
        <v>640</v>
      </c>
      <c r="B80" s="20" t="s">
        <v>64</v>
      </c>
      <c r="C80" s="18" t="s">
        <v>641</v>
      </c>
      <c r="D80" s="18" t="s">
        <v>56</v>
      </c>
      <c r="E80" s="18" t="s">
        <v>642</v>
      </c>
      <c r="F80" s="18" t="s">
        <v>67</v>
      </c>
      <c r="G80" s="18" t="str">
        <f>IFERROR(__xludf.DUMMYFUNCTION("textjoin(char(10),1,filter(Organizations!D:D,Organizations!A:A=A80))"),"The Kitchen Restaurant Group - Co-founder &amp; Executive Chairman (farm-to-table restaurants)
Square Roots - Co-founder &amp; Executive Chairman (urban indoor farming)
Big Green - Co-founder (nonprofit; learning gardens in schools)
Tesla, Inc. - Board Member (si"&amp;"nce 2008)
SpaceX - Board Member (2003–2025)
Chipotle Mexican Grill - Former Board Member (2013–2019)
Co - founder, Zip2 (with Elon Musk; sold 1999)
Major shareholder in Tesla")</f>
        <v>The Kitchen Restaurant Group - Co-founder &amp; Executive Chairman (farm-to-table restaurants)
Square Roots - Co-founder &amp; Executive Chairman (urban indoor farming)
Big Green - Co-founder (nonprofit; learning gardens in schools)
Tesla, Inc. - Board Member (since 2008)
SpaceX - Board Member (2003–2025)
Chipotle Mexican Grill - Former Board Member (2013–2019)
Co - founder, Zip2 (with Elon Musk; sold 1999)
Major shareholder in Tesla</v>
      </c>
      <c r="H80" s="18" t="s">
        <v>643</v>
      </c>
      <c r="I80" s="18" t="s">
        <v>644</v>
      </c>
      <c r="J80" s="18"/>
      <c r="K80" s="19" t="s">
        <v>645</v>
      </c>
      <c r="L80" s="19" t="s">
        <v>639</v>
      </c>
    </row>
    <row r="81" ht="162.0" customHeight="1">
      <c r="A81" s="18" t="s">
        <v>646</v>
      </c>
      <c r="B81" s="18" t="s">
        <v>98</v>
      </c>
      <c r="C81" s="18" t="s">
        <v>647</v>
      </c>
      <c r="D81" s="18" t="s">
        <v>82</v>
      </c>
      <c r="E81" s="18" t="s">
        <v>327</v>
      </c>
      <c r="F81" s="18" t="s">
        <v>67</v>
      </c>
      <c r="G81" s="18" t="str">
        <f>IFERROR(__xludf.DUMMYFUNCTION("textjoin(char(10),1,filter(Organizations!D:D,Organizations!A:A=A81))"),"Mirabai Films - Founder (production company)
Salaam Baalak Trust - Founder (1988/1998; nonprofit for street children in India)
Maisha Film Lab - Founder (2004/2005; nonprofit training program for East African filmmakers, Kampala, Uganda)")</f>
        <v>Mirabai Films - Founder (production company)
Salaam Baalak Trust - Founder (1988/1998; nonprofit for street children in India)
Maisha Film Lab - Founder (2004/2005; nonprofit training program for East African filmmakers, Kampala, Uganda)</v>
      </c>
      <c r="H81" s="18" t="s">
        <v>648</v>
      </c>
      <c r="I81" s="18" t="s">
        <v>649</v>
      </c>
      <c r="J81" s="18"/>
      <c r="K81" s="19" t="s">
        <v>650</v>
      </c>
      <c r="L81" s="19" t="s">
        <v>651</v>
      </c>
    </row>
    <row r="82" ht="162.0" customHeight="1">
      <c r="A82" s="18" t="s">
        <v>652</v>
      </c>
      <c r="B82" s="18" t="s">
        <v>54</v>
      </c>
      <c r="C82" s="18" t="s">
        <v>653</v>
      </c>
      <c r="D82" s="20" t="s">
        <v>56</v>
      </c>
      <c r="E82" s="20" t="s">
        <v>654</v>
      </c>
      <c r="F82" s="18" t="s">
        <v>655</v>
      </c>
      <c r="G82" s="18" t="str">
        <f>IFERROR(__xludf.DUMMYFUNCTION("textjoin(char(10),1,filter(Organizations!D:D,Organizations!A:A=A82))"),"Appeared on reality TV series *Ladies of London*
Involved with Nelson Mandela Children's Fund
Participated in Naomi Campbell's Fashion for Relief fundraisers")</f>
        <v>Appeared on reality TV series *Ladies of London*
Involved with Nelson Mandela Children's Fund
Participated in Naomi Campbell's Fashion for Relief fundraisers</v>
      </c>
      <c r="H82" s="18" t="s">
        <v>656</v>
      </c>
      <c r="I82" s="18" t="s">
        <v>657</v>
      </c>
      <c r="J82" s="18"/>
      <c r="K82" s="19" t="s">
        <v>658</v>
      </c>
      <c r="L82" s="19" t="s">
        <v>659</v>
      </c>
    </row>
    <row r="83" ht="162.0" customHeight="1">
      <c r="A83" s="18" t="s">
        <v>660</v>
      </c>
      <c r="B83" s="18" t="s">
        <v>64</v>
      </c>
      <c r="C83" s="18" t="s">
        <v>661</v>
      </c>
      <c r="D83" s="18" t="s">
        <v>82</v>
      </c>
      <c r="E83" s="18" t="s">
        <v>662</v>
      </c>
      <c r="F83" s="18" t="s">
        <v>67</v>
      </c>
      <c r="G83" s="18" t="str">
        <f>IFERROR(__xludf.DUMMYFUNCTION("textjoin(char(10),1,filter(Organizations!D:D,Organizations!A:A=A83))"),"Poetry in America - Founder, Director &amp; Host (PBS series and educational initiative)
Verse Video Education - Founder (nonprofit producing educational media)
Arizona State University - Former Director, Educational Media Innovation Studio (2019–2025; fired "&amp;"over Epstein ties)
Harvard University - Former Powell M. Cabot Professor of American Literature (1999–2019)")</f>
        <v>Poetry in America - Founder, Director &amp; Host (PBS series and educational initiative)
Verse Video Education - Founder (nonprofit producing educational media)
Arizona State University - Former Director, Educational Media Innovation Studio (2019–2025; fired over Epstein ties)
Harvard University - Former Powell M. Cabot Professor of American Literature (1999–2019)</v>
      </c>
      <c r="H83" s="18" t="s">
        <v>663</v>
      </c>
      <c r="I83" s="18" t="s">
        <v>664</v>
      </c>
      <c r="J83" s="18"/>
      <c r="K83" s="19" t="s">
        <v>665</v>
      </c>
      <c r="L83" s="19" t="s">
        <v>666</v>
      </c>
    </row>
    <row r="84" ht="162.0" customHeight="1">
      <c r="A84" s="18" t="s">
        <v>667</v>
      </c>
      <c r="B84" s="18" t="s">
        <v>54</v>
      </c>
      <c r="C84" s="18" t="s">
        <v>668</v>
      </c>
      <c r="D84" s="18" t="s">
        <v>56</v>
      </c>
      <c r="E84" s="18" t="s">
        <v>669</v>
      </c>
      <c r="F84" s="18" t="s">
        <v>670</v>
      </c>
      <c r="G84" s="18" t="str">
        <f>IFERROR(__xludf.DUMMYFUNCTION("textjoin(char(10),1,filter(Organizations!D:D,Organizations!A:A=A84))"),"Biomatics Capital Partners - Co-founder &amp; Managing Director (healthcare/life sciences venture firm; $200M debut fund)
Former Chief Advisor for Science and Technology to Bill Gates
Advisor to Gates' bgc3 (Catalyst 3) and the Bill and Melinda Gates Foundati"&amp;"on
Led investments in: Editas Medicine, Twist Biosciences, Grail, Denali Therapeutics, AiCure, ResearchGate")</f>
        <v>Biomatics Capital Partners - Co-founder &amp; Managing Director (healthcare/life sciences venture firm; $200M debut fund)
Former Chief Advisor for Science and Technology to Bill Gates
Advisor to Gates' bgc3 (Catalyst 3) and the Bill and Melinda Gates Foundation
Led investments in: Editas Medicine, Twist Biosciences, Grail, Denali Therapeutics, AiCure, ResearchGate</v>
      </c>
      <c r="H84" s="18" t="s">
        <v>671</v>
      </c>
      <c r="I84" s="18" t="s">
        <v>672</v>
      </c>
      <c r="J84" s="18"/>
      <c r="K84" s="19" t="s">
        <v>673</v>
      </c>
      <c r="L84" s="19" t="s">
        <v>674</v>
      </c>
    </row>
    <row r="85" ht="162.0" customHeight="1">
      <c r="A85" s="18" t="s">
        <v>675</v>
      </c>
      <c r="B85" s="18" t="s">
        <v>73</v>
      </c>
      <c r="C85" s="18" t="s">
        <v>676</v>
      </c>
      <c r="D85" s="18" t="s">
        <v>56</v>
      </c>
      <c r="E85" s="18" t="s">
        <v>677</v>
      </c>
      <c r="F85" s="18" t="s">
        <v>678</v>
      </c>
      <c r="G85" s="18" t="str">
        <f>IFERROR(__xludf.DUMMYFUNCTION("textjoin(char(10),1,filter(Organizations!D:D,Organizations!A:A=A85))"),"Harvard University - Professor of Mathematics and Biology
Program for Evolutionary Dynamics (Harvard) - Founder &amp; Former Director (2003–2020; program closed due to Epstein ties)
Former researcher at the Institute for Advanced Study (Princeton) - Headed fi"&amp;"rst program in theoretical biology")</f>
        <v>Harvard University - Professor of Mathematics and Biology
Program for Evolutionary Dynamics (Harvard) - Founder &amp; Former Director (2003–2020; program closed due to Epstein ties)
Former researcher at the Institute for Advanced Study (Princeton) - Headed first program in theoretical biology</v>
      </c>
      <c r="H85" s="18" t="s">
        <v>679</v>
      </c>
      <c r="I85" s="18" t="s">
        <v>680</v>
      </c>
      <c r="J85" s="18"/>
      <c r="K85" s="19" t="s">
        <v>681</v>
      </c>
      <c r="L85" s="19" t="s">
        <v>682</v>
      </c>
    </row>
    <row r="86" ht="162.0" customHeight="1">
      <c r="A86" s="18" t="s">
        <v>683</v>
      </c>
      <c r="B86" s="18" t="s">
        <v>98</v>
      </c>
      <c r="C86" s="18" t="s">
        <v>684</v>
      </c>
      <c r="D86" s="18" t="s">
        <v>82</v>
      </c>
      <c r="E86" s="18" t="s">
        <v>685</v>
      </c>
      <c r="F86" s="18" t="s">
        <v>67</v>
      </c>
      <c r="G86" s="18" t="str">
        <f>IFERROR(__xludf.DUMMYFUNCTION("textjoin(char(10),1,filter(Organizations!D:D,Organizations!A:A=A86))"),"Serpentine Galleries (London) - Artistic Director (since 2006)
LUMA Arles - Senior Adviser
The Shed (New York) - Artistic Adviser (since 2018)
Garage Museum of Contemporary Art (Moscow) - International Programs Advisor (since 2018)
Co - editor, *Cahiers d"&amp;"'Art* review
Former Curator, Musée d'Art Moderne de la Ville de Paris")</f>
        <v>Serpentine Galleries (London) - Artistic Director (since 2006)
LUMA Arles - Senior Adviser
The Shed (New York) - Artistic Adviser (since 2018)
Garage Museum of Contemporary Art (Moscow) - International Programs Advisor (since 2018)
Co - editor, *Cahiers d'Art* review
Former Curator, Musée d'Art Moderne de la Ville de Paris</v>
      </c>
      <c r="H86" s="18" t="s">
        <v>686</v>
      </c>
      <c r="I86" s="18" t="s">
        <v>687</v>
      </c>
      <c r="J86" s="18"/>
      <c r="K86" s="19" t="s">
        <v>688</v>
      </c>
      <c r="L86" s="19" t="s">
        <v>689</v>
      </c>
    </row>
    <row r="87" ht="162.0" customHeight="1">
      <c r="A87" s="18" t="s">
        <v>690</v>
      </c>
      <c r="B87" s="18" t="s">
        <v>98</v>
      </c>
      <c r="C87" s="18" t="s">
        <v>691</v>
      </c>
      <c r="D87" s="18" t="s">
        <v>82</v>
      </c>
      <c r="E87" s="18" t="s">
        <v>692</v>
      </c>
      <c r="F87" s="18" t="s">
        <v>693</v>
      </c>
      <c r="G87" s="18" t="str">
        <f>IFERROR(__xludf.DUMMYFUNCTION("textjoin(char(10),1,filter(Organizations!D:D,Organizations!A:A=A87))"),"Centers for Medicare and Medicaid Services (CMS) - Nominated Administrator by President Trump
The Dr. Oz Show - Former host (syndicated TV show)
Columbia University - Former Vice Chairman and Professor of Surgery, Department of Surgery
HealthCorps - Co-fo"&amp;"under (teen health education nonprofit)
Significant investment holdings in: Inception Fertility, UnitedHealth Group, Nvidia, AbbVie, Walmart, Apple, and numerous other companies")</f>
        <v>Centers for Medicare and Medicaid Services (CMS) - Nominated Administrator by President Trump
The Dr. Oz Show - Former host (syndicated TV show)
Columbia University - Former Vice Chairman and Professor of Surgery, Department of Surgery
HealthCorps - Co-founder (teen health education nonprofit)
Significant investment holdings in: Inception Fertility, UnitedHealth Group, Nvidia, AbbVie, Walmart, Apple, and numerous other companies</v>
      </c>
      <c r="H87" s="18" t="s">
        <v>694</v>
      </c>
      <c r="I87" s="20" t="s">
        <v>695</v>
      </c>
      <c r="J87" s="18"/>
      <c r="K87" s="19" t="s">
        <v>696</v>
      </c>
      <c r="L87" s="19" t="s">
        <v>697</v>
      </c>
    </row>
    <row r="88" ht="162.0" customHeight="1">
      <c r="A88" s="18" t="s">
        <v>698</v>
      </c>
      <c r="B88" s="18" t="s">
        <v>64</v>
      </c>
      <c r="C88" s="18" t="s">
        <v>699</v>
      </c>
      <c r="D88" s="18" t="s">
        <v>82</v>
      </c>
      <c r="E88" s="18" t="s">
        <v>700</v>
      </c>
      <c r="F88" s="18" t="s">
        <v>67</v>
      </c>
      <c r="G88" s="18" t="str">
        <f>IFERROR(__xludf.DUMMYFUNCTION("textjoin(char(10),1,filter(Organizations!D:D,Organizations!A:A=A88))"),"Colombia - Former President (1998–2002)
Centrist Democrat International (IDC) - President (2015–present)
New Democratic Force - Founder (political movement, 1991)
Hoy (television news program) - Founder (1979)
Guión Review - Co-founder (1978)
Club de Madr"&amp;"id - Full Member
Former Colombian Ambassador to the United States (2005 - 2006)
Architect of Plan Colombia")</f>
        <v>Colombia - Former President (1998–2002)
Centrist Democrat International (IDC) - President (2015–present)
New Democratic Force - Founder (political movement, 1991)
Hoy (television news program) - Founder (1979)
Guión Review - Co-founder (1978)
Club de Madrid - Full Member
Former Colombian Ambassador to the United States (2005 - 2006)
Architect of Plan Colombia</v>
      </c>
      <c r="H88" s="18" t="s">
        <v>701</v>
      </c>
      <c r="I88" s="18" t="s">
        <v>702</v>
      </c>
      <c r="J88" s="18"/>
      <c r="K88" s="19" t="s">
        <v>703</v>
      </c>
      <c r="L88" s="19" t="s">
        <v>704</v>
      </c>
    </row>
    <row r="89" ht="162.0" customHeight="1">
      <c r="A89" s="18" t="s">
        <v>705</v>
      </c>
      <c r="B89" s="18" t="s">
        <v>98</v>
      </c>
      <c r="C89" s="18" t="s">
        <v>706</v>
      </c>
      <c r="D89" s="18" t="s">
        <v>707</v>
      </c>
      <c r="E89" s="18" t="s">
        <v>708</v>
      </c>
      <c r="F89" s="18" t="s">
        <v>67</v>
      </c>
      <c r="G89" s="18" t="str">
        <f>IFERROR(__xludf.DUMMYFUNCTION("textjoin(char(10),1,filter(Organizations!D:D,Organizations!A:A=A89))"),"MSD Capital LP - Co-founder &amp; Chairman Emeritus (private investment firm for Michael Dell, founded 1998)
MSD Partners LP - Co-founder (SEC-registered investment advisor, 2009)
MSD Acquisition Corp. - Founder
DFO Management (Private Equity) - Co-founder (1"&amp;"997)
Rugger Management LLC - Co-founder &amp; Chairman (private investment firm)
Board memberships: Whitney Museum of American Art, Aspen Art Museum (Chairman), Cold Spring Harbor Laboratory, Spirit of America, Third Option Foundation, Harvard Business School"&amp;" Board of Dean's Advisors, LSE North American Advisory Board")</f>
        <v>MSD Capital LP - Co-founder &amp; Chairman Emeritus (private investment firm for Michael Dell, founded 1998)
MSD Partners LP - Co-founder (SEC-registered investment advisor, 2009)
MSD Acquisition Corp. - Founder
DFO Management (Private Equity) - Co-founder (1997)
Rugger Management LLC - Co-founder &amp; Chairman (private investment firm)
Board memberships: Whitney Museum of American Art, Aspen Art Museum (Chairman), Cold Spring Harbor Laboratory, Spirit of America, Third Option Foundation, Harvard Business School Board of Dean's Advisors, LSE North American Advisory Board</v>
      </c>
      <c r="H89" s="18" t="s">
        <v>709</v>
      </c>
      <c r="I89" s="18" t="s">
        <v>710</v>
      </c>
      <c r="J89" s="18"/>
      <c r="K89" s="19" t="s">
        <v>216</v>
      </c>
      <c r="L89" s="19" t="s">
        <v>711</v>
      </c>
    </row>
    <row r="90" ht="162.0" customHeight="1">
      <c r="A90" s="18" t="s">
        <v>712</v>
      </c>
      <c r="B90" s="18" t="s">
        <v>64</v>
      </c>
      <c r="C90" s="18" t="s">
        <v>713</v>
      </c>
      <c r="D90" s="18" t="s">
        <v>82</v>
      </c>
      <c r="E90" s="18" t="s">
        <v>714</v>
      </c>
      <c r="F90" s="18" t="s">
        <v>67</v>
      </c>
      <c r="G90" s="18" t="str">
        <f>IFERROR(__xludf.DUMMYFUNCTION("textjoin(char(10),1,filter(Organizations!D:D,Organizations!A:A=A90))"),"Contemporary African Art Collection (CAAC — The Pigozzi Collection) - Founder (1989; world's largest private collection of contemporary African art, 10,000+ works)
Japigozzi Collection - Founder (contemporary Japanese art, 2006)
Heir to the CEO of Simca ("&amp;"French automobile manufacturer, via his father Henri Pigozzi)
Investor in high - tech companies
Photographer, fashion designer, and philanthropist")</f>
        <v>Contemporary African Art Collection (CAAC — The Pigozzi Collection) - Founder (1989; world's largest private collection of contemporary African art, 10,000+ works)
Japigozzi Collection - Founder (contemporary Japanese art, 2006)
Heir to the CEO of Simca (French automobile manufacturer, via his father Henri Pigozzi)
Investor in high - tech companies
Photographer, fashion designer, and philanthropist</v>
      </c>
      <c r="H90" s="18" t="s">
        <v>715</v>
      </c>
      <c r="I90" s="18" t="s">
        <v>716</v>
      </c>
      <c r="J90" s="18"/>
      <c r="K90" s="19" t="s">
        <v>717</v>
      </c>
      <c r="L90" s="19" t="s">
        <v>718</v>
      </c>
    </row>
    <row r="91" ht="162.0" customHeight="1">
      <c r="A91" s="18" t="s">
        <v>719</v>
      </c>
      <c r="B91" s="18" t="s">
        <v>64</v>
      </c>
      <c r="C91" s="18" t="s">
        <v>720</v>
      </c>
      <c r="D91" s="18" t="s">
        <v>138</v>
      </c>
      <c r="E91" s="18" t="s">
        <v>721</v>
      </c>
      <c r="F91" s="18" t="s">
        <v>722</v>
      </c>
      <c r="G91" s="18" t="str">
        <f>IFERROR(__xludf.DUMMYFUNCTION("textjoin(char(10),1,filter(Organizations!D:D,Organizations!A:A=A91))"),"Harvard University - Johnstone Family Professor of Psychology (since 2003)
Former Director, Center for Cognitive Neuroscience, MIT (1994 - 1999)
Former Co - Director, Center for Cognitive Science, MIT (1985–1994)
Member, American Academy of Arts and Scien"&amp;"ces
Author of multiple bestselling books on language, cognition, and human nature")</f>
        <v>Harvard University - Johnstone Family Professor of Psychology (since 2003)
Former Director, Center for Cognitive Neuroscience, MIT (1994 - 1999)
Former Co - Director, Center for Cognitive Science, MIT (1985–1994)
Member, American Academy of Arts and Sciences
Author of multiple bestselling books on language, cognition, and human nature</v>
      </c>
      <c r="H91" s="18" t="s">
        <v>723</v>
      </c>
      <c r="I91" s="18" t="s">
        <v>724</v>
      </c>
      <c r="J91" s="18"/>
      <c r="K91" s="19" t="s">
        <v>725</v>
      </c>
      <c r="L91" s="19" t="s">
        <v>726</v>
      </c>
    </row>
    <row r="92" ht="162.0" customHeight="1">
      <c r="A92" s="18" t="s">
        <v>727</v>
      </c>
      <c r="B92" s="18" t="s">
        <v>64</v>
      </c>
      <c r="C92" s="18" t="s">
        <v>728</v>
      </c>
      <c r="D92" s="18" t="s">
        <v>56</v>
      </c>
      <c r="E92" s="18" t="s">
        <v>729</v>
      </c>
      <c r="F92" s="18" t="s">
        <v>730</v>
      </c>
      <c r="G92" s="18" t="str">
        <f>IFERROR(__xludf.DUMMYFUNCTION("textjoin(char(10),1,filter(Organizations!D:D,Organizations!A:A=A92))"),"U.S. House of Representatives - Delegate from the U.S. Virgin Islands (since 2015)
Member of: House Permanent Select Committee on Intelligence, Ways and Means Committee, Budget Committee
Former General Counsel, Virgin Islands Economic Development Authorit"&amp;"y (2007 - 2014)
Former Deputy General Counsel, UnitedHealth Group
Former Senior Counsel, U.S. Department of Justice")</f>
        <v>U.S. House of Representatives - Delegate from the U.S. Virgin Islands (since 2015)
Member of: House Permanent Select Committee on Intelligence, Ways and Means Committee, Budget Committee
Former General Counsel, Virgin Islands Economic Development Authority (2007 - 2014)
Former Deputy General Counsel, UnitedHealth Group
Former Senior Counsel, U.S. Department of Justice</v>
      </c>
      <c r="H92" s="18" t="s">
        <v>731</v>
      </c>
      <c r="I92" s="18" t="s">
        <v>732</v>
      </c>
      <c r="J92" s="18"/>
      <c r="K92" s="19" t="s">
        <v>733</v>
      </c>
      <c r="L92" s="19" t="s">
        <v>734</v>
      </c>
    </row>
    <row r="93" ht="162.0" customHeight="1">
      <c r="A93" s="18" t="s">
        <v>735</v>
      </c>
      <c r="B93" s="18" t="s">
        <v>98</v>
      </c>
      <c r="C93" s="18" t="s">
        <v>736</v>
      </c>
      <c r="D93" s="18" t="s">
        <v>82</v>
      </c>
      <c r="E93" s="18" t="s">
        <v>327</v>
      </c>
      <c r="F93" s="18" t="s">
        <v>67</v>
      </c>
      <c r="G93" s="18" t="str">
        <f>IFERROR(__xludf.DUMMYFUNCTION("textjoin(char(10),1,filter(Organizations!D:D,Organizations!A:A=A93))"),"4chan - Founder (2003; sold to Hiroyuki Nishimura in 2015)
DrawQuest - Founder (mobile drawing app; shut down 2014)
Google - Former employee (2016–2021; worked on Google Photos, Maps, and startup incubator Area 120)")</f>
        <v>4chan - Founder (2003; sold to Hiroyuki Nishimura in 2015)
DrawQuest - Founder (mobile drawing app; shut down 2014)
Google - Former employee (2016–2021; worked on Google Photos, Maps, and startup incubator Area 120)</v>
      </c>
      <c r="H93" s="18" t="s">
        <v>737</v>
      </c>
      <c r="I93" s="18" t="s">
        <v>738</v>
      </c>
      <c r="J93" s="18"/>
      <c r="K93" s="19" t="s">
        <v>739</v>
      </c>
      <c r="L93" s="19" t="s">
        <v>740</v>
      </c>
    </row>
    <row r="94" ht="162.0" customHeight="1">
      <c r="A94" s="18" t="s">
        <v>741</v>
      </c>
      <c r="B94" s="18" t="s">
        <v>64</v>
      </c>
      <c r="C94" s="18" t="s">
        <v>742</v>
      </c>
      <c r="D94" s="18" t="s">
        <v>56</v>
      </c>
      <c r="E94" s="18" t="s">
        <v>743</v>
      </c>
      <c r="F94" s="18" t="s">
        <v>198</v>
      </c>
      <c r="G94" s="18" t="s">
        <v>744</v>
      </c>
      <c r="H94" s="18" t="s">
        <v>745</v>
      </c>
      <c r="I94" s="18" t="s">
        <v>746</v>
      </c>
      <c r="J94" s="18"/>
      <c r="K94" s="19" t="s">
        <v>747</v>
      </c>
      <c r="L94" s="19" t="s">
        <v>748</v>
      </c>
    </row>
    <row r="95" ht="162.0" customHeight="1">
      <c r="A95" s="18" t="s">
        <v>749</v>
      </c>
      <c r="B95" s="18" t="s">
        <v>98</v>
      </c>
      <c r="C95" s="18" t="s">
        <v>750</v>
      </c>
      <c r="D95" s="18" t="s">
        <v>82</v>
      </c>
      <c r="E95" s="18" t="s">
        <v>751</v>
      </c>
      <c r="F95" s="18" t="s">
        <v>67</v>
      </c>
      <c r="G95" s="18" t="str">
        <f>IFERROR(__xludf.DUMMYFUNCTION("textjoin(char(10),1,filter(Organizations!D:D,Organizations!A:A=A95))"),"Swedish Royal Family - Member (wife of Prince Carl Philip of Sweden)
Project Playground - Co-founder (non-profit supporting vulnerable children in South Africa and Sweden)
Patron of Sophiahemmet (Stockholm hospital and nursing college)
Former board member"&amp;": Dalarna University
Ambassador for: Swedish Dyslexia Association")</f>
        <v>Swedish Royal Family - Member (wife of Prince Carl Philip of Sweden)
Project Playground - Co-founder (non-profit supporting vulnerable children in South Africa and Sweden)
Patron of Sophiahemmet (Stockholm hospital and nursing college)
Former board member: Dalarna University
Ambassador for: Swedish Dyslexia Association</v>
      </c>
      <c r="H95" s="18" t="s">
        <v>752</v>
      </c>
      <c r="I95" s="18" t="s">
        <v>753</v>
      </c>
      <c r="J95" s="18"/>
      <c r="K95" s="19" t="s">
        <v>754</v>
      </c>
      <c r="L95" s="19" t="s">
        <v>754</v>
      </c>
    </row>
    <row r="96" ht="162.0" customHeight="1">
      <c r="A96" s="18" t="s">
        <v>755</v>
      </c>
      <c r="B96" s="18" t="s">
        <v>98</v>
      </c>
      <c r="C96" s="18" t="s">
        <v>756</v>
      </c>
      <c r="D96" s="18" t="s">
        <v>82</v>
      </c>
      <c r="E96" s="18" t="s">
        <v>757</v>
      </c>
      <c r="F96" s="18" t="s">
        <v>67</v>
      </c>
      <c r="G96" s="18" t="str">
        <f>IFERROR(__xludf.DUMMYFUNCTION("textjoin(char(10),1,filter(Organizations!D:D,Organizations!A:A=A96))"),"PSP Partners - Founder &amp; Chairman (private investment firm, 2011)
PSP Capital - Founder (buyout fund within PSP Partners)
PSP Growth - Founder (venture capital arm)
Pritzker Realty Group - Founder (1991; real estate investment)
Vi Senior Living - Founder "&amp;"(1987; formerly Classic Residence by Hyatt)
The Parking Spot - Co-founder (1998)
Artemis Real Estate Partners - Co-founder
Inspired Capital Partners - Co-founder
U.S. Department of Commerce - Former Secretary of Commerce (2013–2017, Obama administration)
"&amp;"Board memberships: Microsoft Corporation, Icertis, DEPT
Former board memberships: Hyatt Hotels Corp., TransUnion, Marmon Group, Wm. Wrigley Jr. Co., LaSalle Bank")</f>
        <v>PSP Partners - Founder &amp; Chairman (private investment firm, 2011)
PSP Capital - Founder (buyout fund within PSP Partners)
PSP Growth - Founder (venture capital arm)
Pritzker Realty Group - Founder (1991; real estate investment)
Vi Senior Living - Founder (1987; formerly Classic Residence by Hyatt)
The Parking Spot - Co-founder (1998)
Artemis Real Estate Partners - Co-founder
Inspired Capital Partners - Co-founder
U.S. Department of Commerce - Former Secretary of Commerce (2013–2017, Obama administration)
Board memberships: Microsoft Corporation, Icertis, DEPT
Former board memberships: Hyatt Hotels Corp., TransUnion, Marmon Group, Wm. Wrigley Jr. Co., LaSalle Bank</v>
      </c>
      <c r="H96" s="18" t="s">
        <v>758</v>
      </c>
      <c r="I96" s="18" t="s">
        <v>759</v>
      </c>
      <c r="J96" s="18"/>
      <c r="K96" s="19" t="s">
        <v>760</v>
      </c>
      <c r="L96" s="19" t="s">
        <v>761</v>
      </c>
    </row>
    <row r="97" ht="162.0" customHeight="1">
      <c r="A97" s="18" t="s">
        <v>762</v>
      </c>
      <c r="B97" s="18" t="s">
        <v>64</v>
      </c>
      <c r="C97" s="18" t="s">
        <v>763</v>
      </c>
      <c r="D97" s="18" t="s">
        <v>56</v>
      </c>
      <c r="E97" s="18" t="s">
        <v>764</v>
      </c>
      <c r="F97" s="20" t="s">
        <v>765</v>
      </c>
      <c r="G97" s="18" t="str">
        <f>IFERROR(__xludf.DUMMYFUNCTION("textjoin(char(10),1,filter(Organizations!D:D,Organizations!A:A=A97))"),"The Pritzker Organization (TPO) - Chairman &amp; CEO (family merchant bank)
Hyatt Hotels Corporation - Former Executive Chairman (resigned February 16, 2026, over Epstein ties)
Triton (Container Leasing) - Co-founder
Bay City Capital - Founder (venture biotec"&amp;"h/pharma)
North America Western Asia Holdings LLC (NAWAH) - Founder &amp; Chairman (Iraq-focused investment)
Former Director: Royal Caribbean Cruises (until 2020), TransUnion (until 2010)")</f>
        <v>The Pritzker Organization (TPO) - Chairman &amp; CEO (family merchant bank)
Hyatt Hotels Corporation - Former Executive Chairman (resigned February 16, 2026, over Epstein ties)
Triton (Container Leasing) - Co-founder
Bay City Capital - Founder (venture biotech/pharma)
North America Western Asia Holdings LLC (NAWAH) - Founder &amp; Chairman (Iraq-focused investment)
Former Director: Royal Caribbean Cruises (until 2020), TransUnion (until 2010)</v>
      </c>
      <c r="H97" s="18" t="s">
        <v>766</v>
      </c>
      <c r="I97" s="20" t="s">
        <v>767</v>
      </c>
      <c r="J97" s="18"/>
      <c r="K97" s="19" t="s">
        <v>768</v>
      </c>
      <c r="L97" s="19" t="s">
        <v>761</v>
      </c>
    </row>
    <row r="98" ht="162.0" customHeight="1">
      <c r="A98" s="18" t="s">
        <v>769</v>
      </c>
      <c r="B98" s="18" t="s">
        <v>98</v>
      </c>
      <c r="C98" s="18" t="s">
        <v>770</v>
      </c>
      <c r="D98" s="18" t="s">
        <v>82</v>
      </c>
      <c r="E98" s="18" t="s">
        <v>250</v>
      </c>
      <c r="F98" s="18" t="s">
        <v>67</v>
      </c>
      <c r="G98" s="18" t="str">
        <f>IFERROR(__xludf.DUMMYFUNCTION("textjoin(char(10),1,filter(Organizations!D:D,Organizations!A:A=A98))"),"Government of India - Union Minister of Petroleum and Natural Gas; Minister of Housing and Urban Affairs (since 2021)
Bharatiya Janata Party (BJP) - Member (since 2014)
Rajya Sabha (Indian Parliament) - Member from Uttar Pradesh (since 2020)
Former Indian"&amp;" Permanent Representative to the United Nations (2009 - 2013)
Former Indian Ambassador to Brazil (2006 - 2008)
Former Indian Deputy Ambassador to the United Kingdom (1999 - 2002)
Retired Indian Foreign Service (IFS) officer (1974 batch)")</f>
        <v>Government of India - Union Minister of Petroleum and Natural Gas; Minister of Housing and Urban Affairs (since 2021)
Bharatiya Janata Party (BJP) - Member (since 2014)
Rajya Sabha (Indian Parliament) - Member from Uttar Pradesh (since 2020)
Former Indian Permanent Representative to the United Nations (2009 - 2013)
Former Indian Ambassador to Brazil (2006 - 2008)
Former Indian Deputy Ambassador to the United Kingdom (1999 - 2002)
Retired Indian Foreign Service (IFS) officer (1974 batch)</v>
      </c>
      <c r="H98" s="18" t="s">
        <v>771</v>
      </c>
      <c r="I98" s="18" t="s">
        <v>772</v>
      </c>
      <c r="J98" s="18"/>
      <c r="K98" s="19" t="s">
        <v>773</v>
      </c>
      <c r="L98" s="19" t="s">
        <v>774</v>
      </c>
    </row>
    <row r="99" ht="162.0" customHeight="1">
      <c r="A99" s="18" t="s">
        <v>775</v>
      </c>
      <c r="B99" s="18" t="s">
        <v>98</v>
      </c>
      <c r="C99" s="18" t="s">
        <v>776</v>
      </c>
      <c r="D99" s="18" t="s">
        <v>82</v>
      </c>
      <c r="E99" s="18" t="s">
        <v>327</v>
      </c>
      <c r="F99" s="18" t="s">
        <v>777</v>
      </c>
      <c r="G99" s="18" t="str">
        <f>IFERROR(__xludf.DUMMYFUNCTION("textjoin(char(10),1,filter(Organizations!D:D,Organizations!A:A=A99))"),"Heir Wave Music Group - Founder (record label, 2020)
GOOD Music - Former President (Kanye West's label; departed 2022)
Re-Up Records - Co-founder (with No Malice, Ab-Liva, and Sandman, 2004)
Caring Hands Medical Transportation - Investor (medical transpor"&amp;"t company)
Clipse - Co-founder (rap duo with brother No Malice)")</f>
        <v>Heir Wave Music Group - Founder (record label, 2020)
GOOD Music - Former President (Kanye West's label; departed 2022)
Re-Up Records - Co-founder (with No Malice, Ab-Liva, and Sandman, 2004)
Caring Hands Medical Transportation - Investor (medical transport company)
Clipse - Co-founder (rap duo with brother No Malice)</v>
      </c>
      <c r="H99" s="18" t="s">
        <v>778</v>
      </c>
      <c r="I99" s="18" t="s">
        <v>779</v>
      </c>
      <c r="J99" s="18"/>
      <c r="K99" s="19" t="s">
        <v>780</v>
      </c>
      <c r="L99" s="19" t="s">
        <v>781</v>
      </c>
    </row>
    <row r="100" ht="162.0" customHeight="1">
      <c r="A100" s="18" t="s">
        <v>782</v>
      </c>
      <c r="B100" s="18" t="s">
        <v>64</v>
      </c>
      <c r="C100" s="18" t="s">
        <v>783</v>
      </c>
      <c r="D100" s="18" t="s">
        <v>560</v>
      </c>
      <c r="E100" s="18" t="s">
        <v>784</v>
      </c>
      <c r="F100" s="18" t="s">
        <v>785</v>
      </c>
      <c r="G100" s="18" t="str">
        <f>IFERROR(__xludf.DUMMYFUNCTION("textjoin(char(10),1,filter(Organizations!D:D,Organizations!A:A=A100))"),"Russian Federation - President (2000–2008, 2012–present); Prime Minister (2008–2012)
United Russia - Associated political party
All-Russia People's Front - Head (since 2013)
Federal Security Service (FSB) - Former Director (1998–1999)
Security Council of "&amp;"Russia - Former Secretary (1999)
Oversaw consolidation of state control over major Russian enterprises including Gazprom, Rosneft, and other state corporations")</f>
        <v>Russian Federation - President (2000–2008, 2012–present); Prime Minister (2008–2012)
United Russia - Associated political party
All-Russia People's Front - Head (since 2013)
Federal Security Service (FSB) - Former Director (1998–1999)
Security Council of Russia - Former Secretary (1999)
Oversaw consolidation of state control over major Russian enterprises including Gazprom, Rosneft, and other state corporations</v>
      </c>
      <c r="H100" s="18" t="s">
        <v>786</v>
      </c>
      <c r="I100" s="18" t="s">
        <v>787</v>
      </c>
      <c r="J100" s="18"/>
      <c r="K100" s="19" t="s">
        <v>788</v>
      </c>
      <c r="L100" s="19" t="s">
        <v>789</v>
      </c>
    </row>
    <row r="101" ht="162.0" customHeight="1">
      <c r="A101" s="18" t="s">
        <v>790</v>
      </c>
      <c r="B101" s="18" t="s">
        <v>64</v>
      </c>
      <c r="C101" s="18" t="s">
        <v>791</v>
      </c>
      <c r="D101" s="18" t="s">
        <v>82</v>
      </c>
      <c r="E101" s="18" t="s">
        <v>792</v>
      </c>
      <c r="F101" s="18" t="s">
        <v>793</v>
      </c>
      <c r="G101" s="18" t="str">
        <f>IFERROR(__xludf.DUMMYFUNCTION("textjoin(char(10),1,filter(Organizations!D:D,Organizations!A:A=A101))"),"Sornay, LLC - Founder, Chairman &amp; CEO (strategic advisory firm, since January 2021)
Kissinger Associates, Inc. - Former Vice Chairman &amp; Co-CEO (2011–2020); Former Managing Director (2006–2011)
FedEx Corporation - Board of Directors (since 2011; Audit &amp; Fi"&amp;"nance Committee, Cyber &amp; Technology Oversight Committee)
Starbucks Corporation - Former Board of Directors
Co - founder, U.S.–China Young Leaders Forum
Member: Council on Foreign Relations, World Economic Forum Young Global Leaders")</f>
        <v>Sornay, LLC - Founder, Chairman &amp; CEO (strategic advisory firm, since January 2021)
Kissinger Associates, Inc. - Former Vice Chairman &amp; Co-CEO (2011–2020); Former Managing Director (2006–2011)
FedEx Corporation - Board of Directors (since 2011; Audit &amp; Finance Committee, Cyber &amp; Technology Oversight Committee)
Starbucks Corporation - Former Board of Directors
Co - founder, U.S.–China Young Leaders Forum
Member: Council on Foreign Relations, World Economic Forum Young Global Leaders</v>
      </c>
      <c r="H101" s="18" t="s">
        <v>794</v>
      </c>
      <c r="I101" s="20" t="s">
        <v>795</v>
      </c>
      <c r="J101" s="18"/>
      <c r="K101" s="19" t="s">
        <v>796</v>
      </c>
      <c r="L101" s="19" t="s">
        <v>797</v>
      </c>
    </row>
    <row r="102" ht="162.0" customHeight="1">
      <c r="A102" s="18" t="s">
        <v>798</v>
      </c>
      <c r="B102" s="18" t="s">
        <v>54</v>
      </c>
      <c r="C102" s="18" t="s">
        <v>799</v>
      </c>
      <c r="D102" s="18" t="s">
        <v>56</v>
      </c>
      <c r="E102" s="18" t="s">
        <v>800</v>
      </c>
      <c r="F102" s="18" t="s">
        <v>801</v>
      </c>
      <c r="G102" s="18" t="str">
        <f>IFERROR(__xludf.DUMMYFUNCTION("textjoin(char(10),1,filter(Organizations!D:D,Organizations!A:A=A102))"),"Harvard University - Frank B. Baird, Jr. Professor of Science, Department of Physics (since 2001)
Member: National Academy of Sciences, American Philosophical Society, American Academy of Arts and Sciences
Former professor at MIT and Princeton University")</f>
        <v>Harvard University - Frank B. Baird, Jr. Professor of Science, Department of Physics (since 2001)
Member: National Academy of Sciences, American Philosophical Society, American Academy of Arts and Sciences
Former professor at MIT and Princeton University</v>
      </c>
      <c r="H102" s="18" t="s">
        <v>802</v>
      </c>
      <c r="I102" s="18" t="s">
        <v>803</v>
      </c>
      <c r="J102" s="18"/>
      <c r="K102" s="19" t="s">
        <v>804</v>
      </c>
      <c r="L102" s="19" t="s">
        <v>805</v>
      </c>
    </row>
    <row r="103" ht="162.0" customHeight="1">
      <c r="A103" s="18" t="s">
        <v>806</v>
      </c>
      <c r="B103" s="18" t="s">
        <v>98</v>
      </c>
      <c r="C103" s="18" t="s">
        <v>807</v>
      </c>
      <c r="D103" s="18" t="s">
        <v>82</v>
      </c>
      <c r="E103" s="18" t="s">
        <v>808</v>
      </c>
      <c r="F103" s="18" t="s">
        <v>809</v>
      </c>
      <c r="G103" s="18" t="str">
        <f>IFERROR(__xludf.DUMMYFUNCTION("textjoin(char(10),1,filter(Organizations!D:D,Organizations!A:A=A103))"),"RatPac Entertainment - Co-founder &amp; CEO (with James Packer, 2012; co-financed 81+ films with Warner Bros.)
RatPac–Dune Entertainment - Co-financing venture with Warner Bros. (75 films, 2013–2018; ties severed after misconduct allegations)
Relativity Studi"&amp;"os - Former Chairman (via Trigger Street acquisition deal in 2016; Relativity went through bankruptcy)
Rat Entertainment - Founder (earlier production company)
Founder, Hilhaven Lodge (whiskey brand, in partnership with DeLeón Tequila/Diageo)")</f>
        <v>RatPac Entertainment - Co-founder &amp; CEO (with James Packer, 2012; co-financed 81+ films with Warner Bros.)
RatPac–Dune Entertainment - Co-financing venture with Warner Bros. (75 films, 2013–2018; ties severed after misconduct allegations)
Relativity Studios - Former Chairman (via Trigger Street acquisition deal in 2016; Relativity went through bankruptcy)
Rat Entertainment - Founder (earlier production company)
Founder, Hilhaven Lodge (whiskey brand, in partnership with DeLeón Tequila/Diageo)</v>
      </c>
      <c r="H103" s="18" t="s">
        <v>810</v>
      </c>
      <c r="I103" s="18" t="s">
        <v>811</v>
      </c>
      <c r="J103" s="18"/>
      <c r="K103" s="19" t="s">
        <v>812</v>
      </c>
      <c r="L103" s="19" t="s">
        <v>813</v>
      </c>
    </row>
    <row r="104" ht="162.0" customHeight="1">
      <c r="A104" s="18" t="s">
        <v>814</v>
      </c>
      <c r="B104" s="18" t="s">
        <v>73</v>
      </c>
      <c r="C104" s="18" t="s">
        <v>815</v>
      </c>
      <c r="D104" s="18" t="s">
        <v>56</v>
      </c>
      <c r="E104" s="18" t="s">
        <v>816</v>
      </c>
      <c r="F104" s="18" t="s">
        <v>817</v>
      </c>
      <c r="G104" s="18" t="str">
        <f>IFERROR(__xludf.DUMMYFUNCTION("textjoin(char(10),1,filter(Organizations!D:D,Organizations!A:A=A104))"),"International Peace Institute (IPI) - Former President (2005–2020; resigned over Epstein ties)
Fafo Institute for Applied Social Science - Founder &amp; Former Director (Oslo, 1982–1993)
United Nations - Multiple senior roles: UN Special Coordinator for the M"&amp;"iddle East Peace Process; Personal Representative of the UN Secretary-General to the PLO/PA (Under-Secretary-General rank, 1999–2004); Special Envoy for Lebanon/Syria (UNSCR 1559)
Government of Norway - Former Deputy Prime Minister and Minister for Planni"&amp;"ng and Cooperation
Key architect of the Oslo Accords")</f>
        <v>International Peace Institute (IPI) - Former President (2005–2020; resigned over Epstein ties)
Fafo Institute for Applied Social Science - Founder &amp; Former Director (Oslo, 1982–1993)
United Nations - Multiple senior roles: UN Special Coordinator for the Middle East Peace Process; Personal Representative of the UN Secretary-General to the PLO/PA (Under-Secretary-General rank, 1999–2004); Special Envoy for Lebanon/Syria (UNSCR 1559)
Government of Norway - Former Deputy Prime Minister and Minister for Planning and Cooperation
Key architect of the Oslo Accords</v>
      </c>
      <c r="H104" s="18" t="s">
        <v>818</v>
      </c>
      <c r="I104" s="18" t="s">
        <v>819</v>
      </c>
      <c r="J104" s="18"/>
      <c r="K104" s="19" t="s">
        <v>820</v>
      </c>
      <c r="L104" s="19" t="s">
        <v>821</v>
      </c>
    </row>
    <row r="105" ht="162.0" customHeight="1">
      <c r="A105" s="18" t="s">
        <v>822</v>
      </c>
      <c r="B105" s="18" t="s">
        <v>54</v>
      </c>
      <c r="C105" s="18" t="s">
        <v>823</v>
      </c>
      <c r="D105" s="18" t="s">
        <v>56</v>
      </c>
      <c r="E105" s="18" t="s">
        <v>824</v>
      </c>
      <c r="F105" s="18" t="s">
        <v>825</v>
      </c>
      <c r="G105" s="18" t="str">
        <f>IFERROR(__xludf.DUMMYFUNCTION("textjoin(char(10),1,filter(Organizations!D:D,Organizations!A:A=A105))"),"Carphone Warehouse (now Currys) - Co-founder; Former Finance Director, COO, and Deputy Chairman
Kandahar Real Estate Ltd - Founder (joint venture with Morgan Stanley)
David Ross Foundation - Founder (education charity, 2006)
David Ross Education Trust - F"&amp;"ounder (academy chain in England)
New Schools Network - Chairman
National Express - Former Chairman (2001–2008)
Former board roles: Trinity Mirror, Big Yellow Storage, Frontiers Capital
Grimsby Town FC - Owner")</f>
        <v>Carphone Warehouse (now Currys) - Co-founder; Former Finance Director, COO, and Deputy Chairman
Kandahar Real Estate Ltd - Founder (joint venture with Morgan Stanley)
David Ross Foundation - Founder (education charity, 2006)
David Ross Education Trust - Founder (academy chain in England)
New Schools Network - Chairman
National Express - Former Chairman (2001–2008)
Former board roles: Trinity Mirror, Big Yellow Storage, Frontiers Capital
Grimsby Town FC - Owner</v>
      </c>
      <c r="H105" s="18" t="s">
        <v>826</v>
      </c>
      <c r="I105" s="18" t="s">
        <v>827</v>
      </c>
      <c r="J105" s="18"/>
      <c r="K105" s="19" t="s">
        <v>828</v>
      </c>
      <c r="L105" s="19" t="s">
        <v>829</v>
      </c>
    </row>
    <row r="106" ht="162.0" customHeight="1">
      <c r="A106" s="18" t="s">
        <v>830</v>
      </c>
      <c r="B106" s="18" t="s">
        <v>54</v>
      </c>
      <c r="C106" s="18" t="s">
        <v>831</v>
      </c>
      <c r="D106" s="18" t="s">
        <v>56</v>
      </c>
      <c r="E106" s="18" t="s">
        <v>832</v>
      </c>
      <c r="F106" s="18" t="s">
        <v>833</v>
      </c>
      <c r="G106" s="18" t="str">
        <f>IFERROR(__xludf.DUMMYFUNCTION("textjoin(char(10),1,filter(Organizations!D:D,Organizations!A:A=A106))"),"Edmond de Rothschild Group - CEO (since March 2023); previously President of the Executive Committee (since 2015) and Chairman of the Board
Edmond de Rothschild Heritage - Creator/Overseer (consolidated the family's wine, hotel, farm, and lifestyle assets"&amp;" under this brand, 2016)
Edmond de Rothschild Foundations - Creator (2005; five fields: art/culture, health/research, philanthropy, cultural dialogue, social entrepreneurship)
Gitana Team - Co-founder (offshore yacht racing team, 2000)
Majority controller"&amp;" of the Edmond de Rothschild Group via her four daughters' voting rights (since 2021)
The group manages CHF 184 billion in assets across 29 sites in 14 countries")</f>
        <v>Edmond de Rothschild Group - CEO (since March 2023); previously President of the Executive Committee (since 2015) and Chairman of the Board
Edmond de Rothschild Heritage - Creator/Overseer (consolidated the family's wine, hotel, farm, and lifestyle assets under this brand, 2016)
Edmond de Rothschild Foundations - Creator (2005; five fields: art/culture, health/research, philanthropy, cultural dialogue, social entrepreneurship)
Gitana Team - Co-founder (offshore yacht racing team, 2000)
Majority controller of the Edmond de Rothschild Group via her four daughters' voting rights (since 2021)
The group manages CHF 184 billion in assets across 29 sites in 14 countries</v>
      </c>
      <c r="H106" s="18" t="s">
        <v>834</v>
      </c>
      <c r="I106" s="18" t="s">
        <v>835</v>
      </c>
      <c r="J106" s="18"/>
      <c r="K106" s="19" t="s">
        <v>836</v>
      </c>
      <c r="L106" s="19" t="s">
        <v>837</v>
      </c>
    </row>
    <row r="107" ht="162.0" customHeight="1">
      <c r="A107" s="18" t="s">
        <v>838</v>
      </c>
      <c r="B107" s="18" t="s">
        <v>64</v>
      </c>
      <c r="C107" s="18" t="s">
        <v>839</v>
      </c>
      <c r="D107" s="18" t="s">
        <v>82</v>
      </c>
      <c r="E107" s="18" t="s">
        <v>840</v>
      </c>
      <c r="F107" s="18" t="s">
        <v>841</v>
      </c>
      <c r="G107" s="18" t="str">
        <f>IFERROR(__xludf.DUMMYFUNCTION("textjoin(char(10),1,filter(Organizations!D:D,Organizations!A:A=A107))"),"E.L. Rothschild LLC - Founder &amp; CEO (family investment holding company, since 2003; investments in media, asset management, real estate, agriculture)
Council for Inclusive Capitalism - Founder &amp; CEO (global non-profit)
Inclusive Capital Partners - Foundin"&amp;"g &amp; Managing Partner
Coalition for Inclusive Capitalism - Founder
FirstMark Communications Inc. - Founder (broadband wireless company, sold in 2000 in $1 billion financing)
TPI Communications International, Inc. - Former majority shareholder, Chairman &amp; C"&amp;"EO (with Motorola, 1989–1995)
Board memberships: The Estée Lauder Companies (since 2000), The Economist Group (since 2002), McCain Institute
Holdings include stakes in: The Economist Group, Bronfman/E.L. Rothschild (wealth management)
Former board roles: "&amp;"Gulfstream, General Instruments")</f>
        <v>E.L. Rothschild LLC - Founder &amp; CEO (family investment holding company, since 2003; investments in media, asset management, real estate, agriculture)
Council for Inclusive Capitalism - Founder &amp; CEO (global non-profit)
Inclusive Capital Partners - Founding &amp; Managing Partner
Coalition for Inclusive Capitalism - Founder
FirstMark Communications Inc. - Founder (broadband wireless company, sold in 2000 in $1 billion financing)
TPI Communications International, Inc. - Former majority shareholder, Chairman &amp; CEO (with Motorola, 1989–1995)
Board memberships: The Estée Lauder Companies (since 2000), The Economist Group (since 2002), McCain Institute
Holdings include stakes in: The Economist Group, Bronfman/E.L. Rothschild (wealth management)
Former board roles: Gulfstream, General Instruments</v>
      </c>
      <c r="H107" s="18" t="s">
        <v>842</v>
      </c>
      <c r="I107" s="18" t="s">
        <v>843</v>
      </c>
      <c r="J107" s="18"/>
      <c r="K107" s="19" t="s">
        <v>844</v>
      </c>
      <c r="L107" s="19" t="s">
        <v>837</v>
      </c>
    </row>
    <row r="108" ht="162.0" customHeight="1">
      <c r="A108" s="18" t="s">
        <v>845</v>
      </c>
      <c r="B108" s="18" t="s">
        <v>54</v>
      </c>
      <c r="C108" s="18" t="s">
        <v>846</v>
      </c>
      <c r="D108" s="18" t="s">
        <v>56</v>
      </c>
      <c r="E108" s="18" t="s">
        <v>847</v>
      </c>
      <c r="F108" s="18" t="s">
        <v>848</v>
      </c>
      <c r="G108" s="18" t="str">
        <f>IFERROR(__xludf.DUMMYFUNCTION("textjoin(char(10),1,filter(Organizations!D:D,Organizations!A:A=A108))"),"Apollo Global Management - Co-founder, CEO &amp; Chair of the Board (co-founded 1990 with Leon Black and Josh Harris; CEO since March 2021)
Athene Holding Ltd. - Board of Directors
Wharton School, University of Pennsylvania - Chair, Board of Advisors
Co - fun"&amp;"der, Penn Wharton Budget Model (nonpartisan public policy research)
Net worth estimated at $8.8 billion (as of November 2024)")</f>
        <v>Apollo Global Management - Co-founder, CEO &amp; Chair of the Board (co-founded 1990 with Leon Black and Josh Harris; CEO since March 2021)
Athene Holding Ltd. - Board of Directors
Wharton School, University of Pennsylvania - Chair, Board of Advisors
Co - funder, Penn Wharton Budget Model (nonpartisan public policy research)
Net worth estimated at $8.8 billion (as of November 2024)</v>
      </c>
      <c r="H108" s="18" t="s">
        <v>849</v>
      </c>
      <c r="I108" s="20" t="s">
        <v>850</v>
      </c>
      <c r="J108" s="18"/>
      <c r="K108" s="19" t="s">
        <v>851</v>
      </c>
      <c r="L108" s="19" t="s">
        <v>852</v>
      </c>
    </row>
    <row r="109" ht="162.0" customHeight="1">
      <c r="A109" s="18" t="s">
        <v>853</v>
      </c>
      <c r="B109" s="18" t="s">
        <v>98</v>
      </c>
      <c r="C109" s="18" t="s">
        <v>854</v>
      </c>
      <c r="D109" s="18" t="s">
        <v>82</v>
      </c>
      <c r="E109" s="18" t="s">
        <v>327</v>
      </c>
      <c r="F109" s="18" t="s">
        <v>855</v>
      </c>
      <c r="G109" s="18" t="str">
        <f>IFERROR(__xludf.DUMMYFUNCTION("textjoin(char(10),1,filter(Organizations!D:D,Organizations!A:A=A109))"),"Asia Society - Incoming President &amp; CEO (returning March 31, 2026; previously served as President &amp; CEO 2021–2023)
Asia Society Policy Institute (ASPI) - Founding President (2015–2023); established its Center for China Analysis (2022)
Australian Governmen"&amp;"t - Former 26th Prime Minister of Australia (2007–2010, 2013); Former Minister for Foreign Affairs (2010–2012); Current Ambassador to the United States (2023–2026)
National Apology Foundation (Australia) - Founder &amp; Co-Chair
Honorary positions: Atlantic C"&amp;"ouncil, CSIS, Paulson Institute, Bloomberg New Economy Forum, Sciences Po Paris")</f>
        <v>Asia Society - Incoming President &amp; CEO (returning March 31, 2026; previously served as President &amp; CEO 2021–2023)
Asia Society Policy Institute (ASPI) - Founding President (2015–2023); established its Center for China Analysis (2022)
Australian Government - Former 26th Prime Minister of Australia (2007–2010, 2013); Former Minister for Foreign Affairs (2010–2012); Current Ambassador to the United States (2023–2026)
National Apology Foundation (Australia) - Founder &amp; Co-Chair
Honorary positions: Atlantic Council, CSIS, Paulson Institute, Bloomberg New Economy Forum, Sciences Po Paris</v>
      </c>
      <c r="H109" s="18" t="s">
        <v>856</v>
      </c>
      <c r="I109" s="18" t="s">
        <v>857</v>
      </c>
      <c r="J109" s="18"/>
      <c r="K109" s="19" t="s">
        <v>858</v>
      </c>
      <c r="L109" s="19" t="s">
        <v>859</v>
      </c>
    </row>
    <row r="110" ht="162.0" customHeight="1">
      <c r="A110" s="18" t="s">
        <v>860</v>
      </c>
      <c r="B110" s="18" t="s">
        <v>73</v>
      </c>
      <c r="C110" s="18" t="s">
        <v>861</v>
      </c>
      <c r="D110" s="18" t="s">
        <v>56</v>
      </c>
      <c r="E110" s="18" t="s">
        <v>862</v>
      </c>
      <c r="F110" s="20" t="s">
        <v>863</v>
      </c>
      <c r="G110" s="18" t="str">
        <f>IFERROR(__xludf.DUMMYFUNCTION("textjoin(char(10),1,filter(Organizations!D:D,Organizations!A:A=A110))"),"Goldman Sachs - Former Chief Legal Officer &amp; General Counsel (2020–February 2026; resigned over Epstein ties); Partner; Chair of Firmwide Conduct Committee
Latham &amp; Watkins LLP - Former Global Chair, White Collar Defense and Investigations Practice
The Wh"&amp;"ite House - Former Counsel to President Barack Obama (longest-serving)
U.S. Department of Justice - Former Principal Associate Deputy Attorney General; Former Deputy Director of the Enron Task Force
FINRA - Former Board of Governors member (since 2021)")</f>
        <v>Goldman Sachs - Former Chief Legal Officer &amp; General Counsel (2020–February 2026; resigned over Epstein ties); Partner; Chair of Firmwide Conduct Committee
Latham &amp; Watkins LLP - Former Global Chair, White Collar Defense and Investigations Practice
The White House - Former Counsel to President Barack Obama (longest-serving)
U.S. Department of Justice - Former Principal Associate Deputy Attorney General; Former Deputy Director of the Enron Task Force
FINRA - Former Board of Governors member (since 2021)</v>
      </c>
      <c r="H110" s="18" t="s">
        <v>864</v>
      </c>
      <c r="I110" s="18" t="s">
        <v>865</v>
      </c>
      <c r="J110" s="18"/>
      <c r="K110" s="19" t="s">
        <v>866</v>
      </c>
      <c r="L110" s="19" t="s">
        <v>867</v>
      </c>
    </row>
    <row r="111" ht="162.0" customHeight="1">
      <c r="A111" s="18" t="s">
        <v>868</v>
      </c>
      <c r="B111" s="18" t="s">
        <v>64</v>
      </c>
      <c r="C111" s="18" t="s">
        <v>869</v>
      </c>
      <c r="D111" s="18" t="s">
        <v>82</v>
      </c>
      <c r="E111" s="18" t="s">
        <v>870</v>
      </c>
      <c r="F111" s="18" t="s">
        <v>871</v>
      </c>
      <c r="G111" s="18" t="str">
        <f>IFERROR(__xludf.DUMMYFUNCTION("textjoin(char(10),1,filter(Organizations!D:D,Organizations!A:A=A111))"),"Saudi Arabia - Crown Prince and Prime Minister
Misk Foundation (Mohammed bin Salman Foundation) - Founder &amp; Chairman (non-profit for youth education and entrepreneurship, 2011)
Mohammed Bin Salman Nonprofit City - Founder (announced 2021, Riyadh)
Misk Art"&amp;" Institute - Founded under Misk Foundation (2017)
Manga Productions - Under Misk Foundation (animated content/video games)
Misk International Schools - Founded under Misk (2016)
Public Investment Fund (PIF) of Saudi Arabia - Chairman (sovereign wealth fun"&amp;"d)
NEOM - Project sponsor (planned megacity)
Saudi Vision 2030 - Architect and chief champion")</f>
        <v>Saudi Arabia - Crown Prince and Prime Minister
Misk Foundation (Mohammed bin Salman Foundation) - Founder &amp; Chairman (non-profit for youth education and entrepreneurship, 2011)
Mohammed Bin Salman Nonprofit City - Founder (announced 2021, Riyadh)
Misk Art Institute - Founded under Misk Foundation (2017)
Manga Productions - Under Misk Foundation (animated content/video games)
Misk International Schools - Founded under Misk (2016)
Public Investment Fund (PIF) of Saudi Arabia - Chairman (sovereign wealth fund)
NEOM - Project sponsor (planned megacity)
Saudi Vision 2030 - Architect and chief champion</v>
      </c>
      <c r="H111" s="18" t="s">
        <v>872</v>
      </c>
      <c r="I111" s="20" t="s">
        <v>873</v>
      </c>
      <c r="J111" s="18"/>
      <c r="K111" s="19" t="s">
        <v>874</v>
      </c>
      <c r="L111" s="19" t="s">
        <v>875</v>
      </c>
    </row>
    <row r="112" ht="162.0" customHeight="1">
      <c r="A112" s="18" t="s">
        <v>876</v>
      </c>
      <c r="B112" s="18" t="s">
        <v>64</v>
      </c>
      <c r="C112" s="18" t="s">
        <v>877</v>
      </c>
      <c r="D112" s="18" t="s">
        <v>56</v>
      </c>
      <c r="E112" s="18" t="s">
        <v>878</v>
      </c>
      <c r="F112" s="18" t="s">
        <v>879</v>
      </c>
      <c r="G112" s="18" t="str">
        <f>IFERROR(__xludf.DUMMYFUNCTION("textjoin(char(10),1,filter(Organizations!D:D,Organizations!A:A=A112))"),"David I. Schoen, Attorney at Law - Founder (civil rights and criminal defense law practice, Montgomery, Alabama)
Lead defense attorney for President Donald Trump during his second impeachment trial (February 2021)")</f>
        <v>David I. Schoen, Attorney at Law - Founder (civil rights and criminal defense law practice, Montgomery, Alabama)
Lead defense attorney for President Donald Trump during his second impeachment trial (February 2021)</v>
      </c>
      <c r="H112" s="18" t="s">
        <v>880</v>
      </c>
      <c r="I112" s="18" t="s">
        <v>881</v>
      </c>
      <c r="J112" s="18"/>
      <c r="K112" s="19" t="s">
        <v>223</v>
      </c>
      <c r="L112" s="19" t="s">
        <v>882</v>
      </c>
    </row>
    <row r="113" ht="162.0" customHeight="1">
      <c r="A113" s="18" t="s">
        <v>883</v>
      </c>
      <c r="B113" s="18" t="s">
        <v>64</v>
      </c>
      <c r="C113" s="18" t="s">
        <v>884</v>
      </c>
      <c r="D113" s="18" t="s">
        <v>56</v>
      </c>
      <c r="E113" s="18" t="s">
        <v>885</v>
      </c>
      <c r="F113" s="18" t="s">
        <v>886</v>
      </c>
      <c r="G113" s="18" t="str">
        <f>IFERROR(__xludf.DUMMYFUNCTION("textjoin(char(10),1,filter(Organizations!D:D,Organizations!A:A=A113))"),"Former Fellow, California Institute of Technology
Founded the Southern California Skeptics (later merged into the Skeptics Society)")</f>
        <v>Former Fellow, California Institute of Technology
Founded the Southern California Skeptics (later merged into the Skeptics Society)</v>
      </c>
      <c r="H113" s="18" t="s">
        <v>887</v>
      </c>
      <c r="I113" s="18" t="s">
        <v>888</v>
      </c>
      <c r="J113" s="18"/>
      <c r="K113" s="19" t="s">
        <v>889</v>
      </c>
      <c r="L113" s="19" t="s">
        <v>890</v>
      </c>
    </row>
    <row r="114" ht="162.0" customHeight="1">
      <c r="A114" s="18" t="s">
        <v>891</v>
      </c>
      <c r="B114" s="18" t="s">
        <v>98</v>
      </c>
      <c r="C114" s="18" t="s">
        <v>892</v>
      </c>
      <c r="D114" s="18" t="s">
        <v>82</v>
      </c>
      <c r="E114" s="18" t="s">
        <v>327</v>
      </c>
      <c r="F114" s="18" t="s">
        <v>893</v>
      </c>
      <c r="G114" s="18" t="str">
        <f>IFERROR(__xludf.DUMMYFUNCTION("textjoin(char(10),1,filter(Organizations!D:D,Organizations!A:A=A114))"),"None - Publicly available information supports only the claim that Serrano earns income as an independent artist through his practice and representation, and does not document any explicit ownership or profit‑beneficiary role in external organizations")</f>
        <v>None - Publicly available information supports only the claim that Serrano earns income as an independent artist through his practice and representation, and does not document any explicit ownership or profit‑beneficiary role in external organizations</v>
      </c>
      <c r="H114" s="18" t="s">
        <v>894</v>
      </c>
      <c r="I114" s="18" t="s">
        <v>895</v>
      </c>
      <c r="J114" s="18"/>
      <c r="K114" s="19" t="s">
        <v>896</v>
      </c>
      <c r="L114" s="19" t="s">
        <v>897</v>
      </c>
    </row>
    <row r="115" ht="162.0" customHeight="1">
      <c r="A115" s="18" t="s">
        <v>898</v>
      </c>
      <c r="B115" s="20" t="s">
        <v>54</v>
      </c>
      <c r="C115" s="20" t="s">
        <v>899</v>
      </c>
      <c r="D115" s="18" t="s">
        <v>56</v>
      </c>
      <c r="E115" s="18" t="s">
        <v>900</v>
      </c>
      <c r="F115" s="18" t="s">
        <v>901</v>
      </c>
      <c r="G115" s="18" t="str">
        <f>IFERROR(__xludf.DUMMYFUNCTION("textjoin(char(10),1,filter(Organizations!D:D,Organizations!A:A=A115))"),"Peggy Siegal Company - Founder &amp; President (New York–based PR firm specializing in film premieres and entertainment events)
No other known major organizational connections")</f>
        <v>Peggy Siegal Company - Founder &amp; President (New York–based PR firm specializing in film premieres and entertainment events)
No other known major organizational connections</v>
      </c>
      <c r="H115" s="18" t="s">
        <v>902</v>
      </c>
      <c r="I115" s="18" t="s">
        <v>903</v>
      </c>
      <c r="J115" s="18"/>
      <c r="K115" s="19" t="s">
        <v>904</v>
      </c>
      <c r="L115" s="19" t="s">
        <v>905</v>
      </c>
    </row>
    <row r="116" ht="162.0" customHeight="1">
      <c r="A116" s="18" t="s">
        <v>906</v>
      </c>
      <c r="B116" s="18" t="s">
        <v>98</v>
      </c>
      <c r="C116" s="18" t="s">
        <v>907</v>
      </c>
      <c r="D116" s="18" t="s">
        <v>82</v>
      </c>
      <c r="E116" s="18" t="s">
        <v>908</v>
      </c>
      <c r="F116" s="18" t="s">
        <v>909</v>
      </c>
      <c r="G116" s="18" t="str">
        <f>IFERROR(__xludf.DUMMYFUNCTION("textjoin(char(10),1,filter(Organizations!D:D,Organizations!A:A=A116))"),"Trigger Street Productions - Founder (entertainment production company, 1997; later acquired by Relativity Media in 2016)
The Old Vic Theatre - Former Artistic Director (London, 2004–2015)
Relativity Studios - Former Chairman (2016)
Kevin Spacey Foundatio"&amp;"n - Former Founder (closed amid misconduct allegations)")</f>
        <v>Trigger Street Productions - Founder (entertainment production company, 1997; later acquired by Relativity Media in 2016)
The Old Vic Theatre - Former Artistic Director (London, 2004–2015)
Relativity Studios - Former Chairman (2016)
Kevin Spacey Foundation - Former Founder (closed amid misconduct allegations)</v>
      </c>
      <c r="H116" s="18" t="s">
        <v>910</v>
      </c>
      <c r="I116" s="18" t="s">
        <v>911</v>
      </c>
      <c r="J116" s="18"/>
      <c r="K116" s="19" t="s">
        <v>858</v>
      </c>
      <c r="L116" s="19" t="s">
        <v>912</v>
      </c>
    </row>
    <row r="117" ht="162.0" customHeight="1">
      <c r="A117" s="18" t="s">
        <v>913</v>
      </c>
      <c r="B117" s="18" t="s">
        <v>73</v>
      </c>
      <c r="C117" s="18" t="s">
        <v>914</v>
      </c>
      <c r="D117" s="18" t="s">
        <v>56</v>
      </c>
      <c r="E117" s="18" t="s">
        <v>915</v>
      </c>
      <c r="F117" s="18" t="s">
        <v>916</v>
      </c>
      <c r="G117" s="18" t="str">
        <f>IFERROR(__xludf.DUMMYFUNCTION("textjoin(char(10),1,filter(Organizations!D:D,Organizations!A:A=A117))"),"Barclays PLC - Former Group CEO (2015–2021; resigned amid investigation into Epstein relationship)
JPMorgan Chase - Former Head of Private Banking; Former CEO of Investment Bank
BlueMountain Capital Management - Former Senior Advisor
Bromley Trust - Trust"&amp;"ee")</f>
        <v>Barclays PLC - Former Group CEO (2015–2021; resigned amid investigation into Epstein relationship)
JPMorgan Chase - Former Head of Private Banking; Former CEO of Investment Bank
BlueMountain Capital Management - Former Senior Advisor
Bromley Trust - Trustee</v>
      </c>
      <c r="H117" s="18" t="s">
        <v>917</v>
      </c>
      <c r="I117" s="18" t="s">
        <v>918</v>
      </c>
      <c r="J117" s="18"/>
      <c r="K117" s="19" t="s">
        <v>919</v>
      </c>
      <c r="L117" s="19" t="s">
        <v>920</v>
      </c>
    </row>
    <row r="118" ht="162.0" customHeight="1">
      <c r="A118" s="18" t="s">
        <v>921</v>
      </c>
      <c r="B118" s="18" t="s">
        <v>54</v>
      </c>
      <c r="C118" s="18" t="s">
        <v>922</v>
      </c>
      <c r="D118" s="18" t="s">
        <v>56</v>
      </c>
      <c r="E118" s="18" t="s">
        <v>923</v>
      </c>
      <c r="F118" s="18" t="s">
        <v>924</v>
      </c>
      <c r="G118" s="18" t="str">
        <f>IFERROR(__xludf.DUMMYFUNCTION("textjoin(char(10),1,filter(Organizations!D:D,Organizations!A:A=A118))"),"Office of the Independent Counsel - Independent Counsel (Whitewater/Lewinsky investigation, 1994–1999)
Baylor University - Former President (2010–2016) and Chancellor (removed over campus sexual assault scandal)
Kirkland &amp; Ellis - Former Partner (appellat"&amp;"e litigation)
U.S. Court of Appeals for the D.C. Circuit - Former Judge (1983–1989)
U.S. Solicitor General - Former Solicitor General (1989–1993; argued 25 cases before the Supreme Court)")</f>
        <v>Office of the Independent Counsel - Independent Counsel (Whitewater/Lewinsky investigation, 1994–1999)
Baylor University - Former President (2010–2016) and Chancellor (removed over campus sexual assault scandal)
Kirkland &amp; Ellis - Former Partner (appellate litigation)
U.S. Court of Appeals for the D.C. Circuit - Former Judge (1983–1989)
U.S. Solicitor General - Former Solicitor General (1989–1993; argued 25 cases before the Supreme Court)</v>
      </c>
      <c r="H118" s="18" t="s">
        <v>925</v>
      </c>
      <c r="I118" s="18" t="s">
        <v>926</v>
      </c>
      <c r="J118" s="18"/>
      <c r="K118" s="19" t="s">
        <v>927</v>
      </c>
      <c r="L118" s="19" t="s">
        <v>928</v>
      </c>
    </row>
    <row r="119" ht="162.0" customHeight="1">
      <c r="A119" s="18" t="s">
        <v>929</v>
      </c>
      <c r="B119" s="18" t="s">
        <v>98</v>
      </c>
      <c r="C119" s="18" t="s">
        <v>930</v>
      </c>
      <c r="D119" s="18" t="s">
        <v>82</v>
      </c>
      <c r="E119" s="18" t="s">
        <v>931</v>
      </c>
      <c r="F119" s="18" t="s">
        <v>932</v>
      </c>
      <c r="G119" s="18" t="str">
        <f>IFERROR(__xludf.DUMMYFUNCTION("textjoin(char(10),1,filter(Organizations!D:D,Organizations!A:A=A119))"),"National Basketball Association (NBA) - Former Commissioner (1984–2014)
NBA Properties - Overseer during tenure
Columbia Law School - Adjunct Professor
Previously a partner at Proskauer Rose (law firm)")</f>
        <v>National Basketball Association (NBA) - Former Commissioner (1984–2014)
NBA Properties - Overseer during tenure
Columbia Law School - Adjunct Professor
Previously a partner at Proskauer Rose (law firm)</v>
      </c>
      <c r="H119" s="18" t="s">
        <v>933</v>
      </c>
      <c r="I119" s="18" t="s">
        <v>934</v>
      </c>
      <c r="J119" s="18"/>
      <c r="K119" s="19" t="s">
        <v>223</v>
      </c>
      <c r="L119" s="19" t="s">
        <v>935</v>
      </c>
    </row>
    <row r="120" ht="162.0" customHeight="1">
      <c r="A120" s="18" t="s">
        <v>936</v>
      </c>
      <c r="B120" s="18" t="s">
        <v>54</v>
      </c>
      <c r="C120" s="18" t="s">
        <v>937</v>
      </c>
      <c r="D120" s="18" t="s">
        <v>56</v>
      </c>
      <c r="E120" s="18" t="s">
        <v>938</v>
      </c>
      <c r="F120" s="20" t="s">
        <v>939</v>
      </c>
      <c r="G120" s="18" t="str">
        <f>IFERROR(__xludf.DUMMYFUNCTION("textjoin(char(10),1,filter(Organizations!D:D,Organizations!A:A=A120))"),"DP World - Former Group Chairman &amp; CEO (resigned February 2026 over Epstein ties)
Ports, Customs &amp; Free Zone Corporation (PCFC) - Chairman
Nakheel - Founder (real estate developer; The Palm Islands, Dubai)
Dubai Multi Commodities Centre (DMCC) - Founding "&amp;"Chairman (commodities exchange)
P&amp;O Group - Led DP World's $6.8 billion acquisition in 2006
Under his leadership, DP World operated in 83 countries with 119,000+ employees, handling ~10% of global container trade")</f>
        <v>DP World - Former Group Chairman &amp; CEO (resigned February 2026 over Epstein ties)
Ports, Customs &amp; Free Zone Corporation (PCFC) - Chairman
Nakheel - Founder (real estate developer; The Palm Islands, Dubai)
Dubai Multi Commodities Centre (DMCC) - Founding Chairman (commodities exchange)
P&amp;O Group - Led DP World's $6.8 billion acquisition in 2006
Under his leadership, DP World operated in 83 countries with 119,000+ employees, handling ~10% of global container trade</v>
      </c>
      <c r="H120" s="18" t="s">
        <v>940</v>
      </c>
      <c r="I120" s="20" t="s">
        <v>941</v>
      </c>
      <c r="J120" s="18"/>
      <c r="K120" s="19" t="s">
        <v>942</v>
      </c>
      <c r="L120" s="19" t="s">
        <v>943</v>
      </c>
    </row>
    <row r="121" ht="162.0" customHeight="1">
      <c r="A121" s="18" t="s">
        <v>944</v>
      </c>
      <c r="B121" s="20" t="s">
        <v>54</v>
      </c>
      <c r="C121" s="18" t="s">
        <v>945</v>
      </c>
      <c r="D121" s="18" t="s">
        <v>56</v>
      </c>
      <c r="E121" s="18" t="s">
        <v>946</v>
      </c>
      <c r="F121" s="20" t="s">
        <v>947</v>
      </c>
      <c r="G121" s="18" t="str">
        <f>IFERROR(__xludf.DUMMYFUNCTION("textjoin(char(10),1,filter(Organizations!D:D,Organizations!A:A=A121))"),"Harvard University - Charles W. Eliot University Professor (current tenured position); Former 27th President of Harvard University (2001–2006)
D.E. Shaw &amp; Co. - Former Part-time Managing Director (2006–2009; returned as advisor post-NEC)
White House Natio"&amp;"nal Economic Council - Former Director (2009–2010, under President Obama)
U.S. Department of the Treasury - Former Secretary of the Treasury (1999–2001, under President Clinton); Former Deputy Secretary (1995–1999)
World Bank - Former Chief Economist (199"&amp;"1–1993)
Former board roles: Square (Block) (since 2011), Andreessen Horowitz (special adviser), LendingClub, NASDAQ OMX Group
Paid advisory roles with Citigroup, Goldman Sachs")</f>
        <v>Harvard University - Charles W. Eliot University Professor (current tenured position); Former 27th President of Harvard University (2001–2006)
D.E. Shaw &amp; Co. - Former Part-time Managing Director (2006–2009; returned as advisor post-NEC)
White House National Economic Council - Former Director (2009–2010, under President Obama)
U.S. Department of the Treasury - Former Secretary of the Treasury (1999–2001, under President Clinton); Former Deputy Secretary (1995–1999)
World Bank - Former Chief Economist (1991–1993)
Former board roles: Square (Block) (since 2011), Andreessen Horowitz (special adviser), LendingClub, NASDAQ OMX Group
Paid advisory roles with Citigroup, Goldman Sachs</v>
      </c>
      <c r="H121" s="18" t="s">
        <v>948</v>
      </c>
      <c r="I121" s="18" t="s">
        <v>949</v>
      </c>
      <c r="J121" s="18"/>
      <c r="K121" s="19" t="s">
        <v>950</v>
      </c>
      <c r="L121" s="19" t="s">
        <v>951</v>
      </c>
    </row>
    <row r="122" ht="162.0" customHeight="1">
      <c r="A122" s="18" t="s">
        <v>952</v>
      </c>
      <c r="B122" s="18" t="s">
        <v>64</v>
      </c>
      <c r="C122" s="18" t="s">
        <v>953</v>
      </c>
      <c r="D122" s="18" t="s">
        <v>82</v>
      </c>
      <c r="E122" s="18" t="s">
        <v>954</v>
      </c>
      <c r="F122" s="18" t="s">
        <v>955</v>
      </c>
      <c r="G122" s="18" t="str">
        <f>IFERROR(__xludf.DUMMYFUNCTION("textjoin(char(10),1,filter(Organizations!D:D,Organizations!A:A=A122))"),"Shanghai Tang - Founder (luxury fashion brand, Hong Kong, 1994; sold to Richemont)
China Tang - Founder (restaurant at The Dorchester, London)
iClub Hotels - Founder (hotel chain, Hong Kong)
Tang Tang Tang Tang - Founder (lifestyle brand)
Patron of the ar"&amp;"ts and philanthropy in Hong Kong and London")</f>
        <v>Shanghai Tang - Founder (luxury fashion brand, Hong Kong, 1994; sold to Richemont)
China Tang - Founder (restaurant at The Dorchester, London)
iClub Hotels - Founder (hotel chain, Hong Kong)
Tang Tang Tang Tang - Founder (lifestyle brand)
Patron of the arts and philanthropy in Hong Kong and London</v>
      </c>
      <c r="H122" s="18" t="s">
        <v>956</v>
      </c>
      <c r="I122" s="18" t="s">
        <v>957</v>
      </c>
      <c r="J122" s="18"/>
      <c r="K122" s="19" t="s">
        <v>223</v>
      </c>
      <c r="L122" s="19" t="s">
        <v>958</v>
      </c>
    </row>
    <row r="123" ht="162.0" customHeight="1">
      <c r="A123" s="18" t="s">
        <v>959</v>
      </c>
      <c r="B123" s="18" t="s">
        <v>64</v>
      </c>
      <c r="C123" s="18" t="s">
        <v>960</v>
      </c>
      <c r="D123" s="18" t="s">
        <v>82</v>
      </c>
      <c r="E123" s="18" t="s">
        <v>961</v>
      </c>
      <c r="F123" s="18" t="s">
        <v>962</v>
      </c>
      <c r="G123" s="18" t="str">
        <f>IFERROR(__xludf.DUMMYFUNCTION("textjoin(char(10),1,filter(Organizations!D:D,Organizations!A:A=A123))"),"Princeton University - Professor of Ecology and Evolutionary Biology")</f>
        <v>Princeton University - Professor of Ecology and Evolutionary Biology</v>
      </c>
      <c r="H123" s="18" t="s">
        <v>963</v>
      </c>
      <c r="I123" s="18" t="s">
        <v>964</v>
      </c>
      <c r="J123" s="18"/>
      <c r="K123" s="19" t="s">
        <v>965</v>
      </c>
      <c r="L123" s="19" t="s">
        <v>966</v>
      </c>
    </row>
    <row r="124" ht="162.0" customHeight="1">
      <c r="A124" s="18" t="s">
        <v>967</v>
      </c>
      <c r="B124" s="20" t="s">
        <v>54</v>
      </c>
      <c r="C124" s="18" t="s">
        <v>968</v>
      </c>
      <c r="D124" s="18" t="s">
        <v>138</v>
      </c>
      <c r="E124" s="18" t="s">
        <v>969</v>
      </c>
      <c r="F124" s="18" t="s">
        <v>970</v>
      </c>
      <c r="G124" s="18" t="str">
        <f>IFERROR(__xludf.DUMMYFUNCTION("textjoin(char(10),1,filter(Organizations!D:D,Organizations!A:A=A124))"),"Palantir Technologies - Co-founder &amp; Chairman (since 2003)
Founders Fund - Co-founder &amp; Partner (venture capital, 2005)
Thiel Capital - Founder (family office/venture fund, 2011)
Valar Ventures - Co-founder (venture capital focused on international fintec"&amp;"h, 2010; spun out of Thiel Capital)
Mithril Capital Management - Co-founder (growth-stage venture fund, 2012)
Clarium Capital - Founder (global macro hedge fund, San Francisco)
PayPal - Co-founder &amp; Former CEO (merged with X.com; sold to eBay 2002)
Thiel "&amp;"Fellowship - Founder ($100,000 grants to young entrepreneurs who skip college)
Breakout Labs - Founder (grants for early-stage science startups; spun out of Thiel Foundation)
First outside investor in Facebook/Meta
Early investor in Clearview AI (facial r"&amp;"ecognition, 2017)
Involvement in incubating Valinor Enterprises (defense incubator, 2024)")</f>
        <v>Palantir Technologies - Co-founder &amp; Chairman (since 2003)
Founders Fund - Co-founder &amp; Partner (venture capital, 2005)
Thiel Capital - Founder (family office/venture fund, 2011)
Valar Ventures - Co-founder (venture capital focused on international fintech, 2010; spun out of Thiel Capital)
Mithril Capital Management - Co-founder (growth-stage venture fund, 2012)
Clarium Capital - Founder (global macro hedge fund, San Francisco)
PayPal - Co-founder &amp; Former CEO (merged with X.com; sold to eBay 2002)
Thiel Fellowship - Founder ($100,000 grants to young entrepreneurs who skip college)
Breakout Labs - Founder (grants for early-stage science startups; spun out of Thiel Foundation)
First outside investor in Facebook/Meta
Early investor in Clearview AI (facial recognition, 2017)
Involvement in incubating Valinor Enterprises (defense incubator, 2024)</v>
      </c>
      <c r="H124" s="18" t="s">
        <v>971</v>
      </c>
      <c r="I124" s="20" t="s">
        <v>972</v>
      </c>
      <c r="J124" s="18"/>
      <c r="K124" s="19" t="s">
        <v>95</v>
      </c>
      <c r="L124" s="19" t="s">
        <v>973</v>
      </c>
    </row>
    <row r="125" ht="162.0" customHeight="1">
      <c r="A125" s="18" t="s">
        <v>974</v>
      </c>
      <c r="B125" s="18" t="s">
        <v>64</v>
      </c>
      <c r="C125" s="18" t="s">
        <v>975</v>
      </c>
      <c r="D125" s="18" t="s">
        <v>56</v>
      </c>
      <c r="E125" s="18" t="s">
        <v>976</v>
      </c>
      <c r="F125" s="18" t="s">
        <v>977</v>
      </c>
      <c r="G125" s="18" t="str">
        <f>IFERROR(__xludf.DUMMYFUNCTION("textjoin(char(10),1,filter(Organizations!D:D,Organizations!A:A=A125))"),"Prince Andrew Charitable Trust - Former Private Secretary and Trustee
Pitch@Palace - Former CEO (Prince Andrew's entrepreneurship initiative; renamed the Entrepreneurs Network after Andrew's withdrawal)
Former Private Secretary to Prince Andrew, Duke of Y"&amp;"ork (2012 - 2019)")</f>
        <v>Prince Andrew Charitable Trust - Former Private Secretary and Trustee
Pitch@Palace - Former CEO (Prince Andrew's entrepreneurship initiative; renamed the Entrepreneurs Network after Andrew's withdrawal)
Former Private Secretary to Prince Andrew, Duke of York (2012 - 2019)</v>
      </c>
      <c r="H125" s="18" t="s">
        <v>978</v>
      </c>
      <c r="I125" s="18" t="s">
        <v>979</v>
      </c>
      <c r="J125" s="18"/>
      <c r="K125" s="19" t="s">
        <v>980</v>
      </c>
      <c r="L125" s="19" t="s">
        <v>981</v>
      </c>
    </row>
    <row r="126" ht="162.0" customHeight="1">
      <c r="A126" s="18" t="s">
        <v>982</v>
      </c>
      <c r="B126" s="18" t="s">
        <v>54</v>
      </c>
      <c r="C126" s="18" t="s">
        <v>983</v>
      </c>
      <c r="D126" s="18" t="s">
        <v>56</v>
      </c>
      <c r="E126" s="18" t="s">
        <v>984</v>
      </c>
      <c r="F126" s="18" t="s">
        <v>985</v>
      </c>
      <c r="G126" s="18" t="str">
        <f>IFERROR(__xludf.DUMMYFUNCTION("textjoin(char(10),1,filter(Organizations!D:D,Organizations!A:A=A126))"),"Mount Sinai Center for Transgender Medicine and Surgery - Director (surgeon specializing in gender-affirming surgery, New York)")</f>
        <v>Mount Sinai Center for Transgender Medicine and Surgery - Director (surgeon specializing in gender-affirming surgery, New York)</v>
      </c>
      <c r="H126" s="18" t="s">
        <v>986</v>
      </c>
      <c r="I126" s="18" t="s">
        <v>987</v>
      </c>
      <c r="J126" s="18"/>
      <c r="K126" s="19" t="s">
        <v>988</v>
      </c>
      <c r="L126" s="19" t="s">
        <v>989</v>
      </c>
    </row>
    <row r="127" ht="162.0" customHeight="1">
      <c r="A127" s="18" t="s">
        <v>990</v>
      </c>
      <c r="B127" s="20" t="s">
        <v>64</v>
      </c>
      <c r="C127" s="18" t="s">
        <v>991</v>
      </c>
      <c r="D127" s="18" t="s">
        <v>56</v>
      </c>
      <c r="E127" s="18" t="s">
        <v>992</v>
      </c>
      <c r="F127" s="18" t="s">
        <v>993</v>
      </c>
      <c r="G127" s="18" t="str">
        <f>IFERROR(__xludf.DUMMYFUNCTION("textjoin(char(10),1,filter(Organizations!D:D,Organizations!A:A=A127))"),"New York Giants (NFL) - Chairman, Executive Vice President &amp; Co-owner (50% family stake, inherited from father Preston Robert Tisch)
Escape Artists Productions - Partner (film production company)
Tisch Family - Part of the broader Tisch family that contro"&amp;"ls Loews Corporation (insurance, energy, packaging, hotels)
Academy Award - winning film producer (*Forrest Gump*, *American History X*, *Snatch*)")</f>
        <v>New York Giants (NFL) - Chairman, Executive Vice President &amp; Co-owner (50% family stake, inherited from father Preston Robert Tisch)
Escape Artists Productions - Partner (film production company)
Tisch Family - Part of the broader Tisch family that controls Loews Corporation (insurance, energy, packaging, hotels)
Academy Award - winning film producer (*Forrest Gump*, *American History X*, *Snatch*)</v>
      </c>
      <c r="H127" s="18" t="s">
        <v>994</v>
      </c>
      <c r="I127" s="18" t="s">
        <v>995</v>
      </c>
      <c r="J127" s="18"/>
      <c r="K127" s="19" t="s">
        <v>118</v>
      </c>
      <c r="L127" s="19" t="s">
        <v>996</v>
      </c>
    </row>
    <row r="128" ht="162.0" customHeight="1">
      <c r="A128" s="18" t="s">
        <v>997</v>
      </c>
      <c r="B128" s="18" t="s">
        <v>98</v>
      </c>
      <c r="C128" s="18" t="s">
        <v>998</v>
      </c>
      <c r="D128" s="18" t="s">
        <v>82</v>
      </c>
      <c r="E128" s="18" t="s">
        <v>999</v>
      </c>
      <c r="F128" s="18" t="s">
        <v>1000</v>
      </c>
      <c r="G128" s="18" t="str">
        <f>IFERROR(__xludf.DUMMYFUNCTION("textjoin(char(10),1,filter(Organizations!D:D,Organizations!A:A=A128))"),"Fédération Internationale de l'Automobile (FIA) - Former President (2009–2021; now Honorary President)
Ferrari S.p.A. - Former CEO (2004–2008); Former General Manager of the Racing Division (1993–2004)
Peugeot Talbot Sport - Former Director (1982–1993)
Un"&amp;"ited Nations - Special Envoy for Road Safety (since 2015)
Brain Institute (ICM), Paris - Founding Vice-President (since 2005)
Suu Foundation - President (since 2014)
International Peace Institute (IPI) - Board Member (since 2015)")</f>
        <v>Fédération Internationale de l'Automobile (FIA) - Former President (2009–2021; now Honorary President)
Ferrari S.p.A. - Former CEO (2004–2008); Former General Manager of the Racing Division (1993–2004)
Peugeot Talbot Sport - Former Director (1982–1993)
United Nations - Special Envoy for Road Safety (since 2015)
Brain Institute (ICM), Paris - Founding Vice-President (since 2005)
Suu Foundation - President (since 2014)
International Peace Institute (IPI) - Board Member (since 2015)</v>
      </c>
      <c r="H128" s="18" t="s">
        <v>1001</v>
      </c>
      <c r="I128" s="18" t="s">
        <v>1002</v>
      </c>
      <c r="J128" s="18"/>
      <c r="K128" s="19" t="s">
        <v>717</v>
      </c>
      <c r="L128" s="19" t="s">
        <v>1003</v>
      </c>
    </row>
    <row r="129" ht="162.0" customHeight="1">
      <c r="A129" s="18" t="s">
        <v>1004</v>
      </c>
      <c r="B129" s="18" t="s">
        <v>54</v>
      </c>
      <c r="C129" s="18" t="s">
        <v>1005</v>
      </c>
      <c r="D129" s="18" t="s">
        <v>56</v>
      </c>
      <c r="E129" s="18" t="s">
        <v>1006</v>
      </c>
      <c r="F129" s="20" t="s">
        <v>1007</v>
      </c>
      <c r="G129" s="18" t="str">
        <f>IFERROR(__xludf.DUMMYFUNCTION("textjoin(char(10),1,filter(Organizations!D:D,Organizations!A:A=A129))"),"Harvard Medical School - Former Faculty, Department of Neurology
UC Irvine - Faculty, Department of Neurology")</f>
        <v>Harvard Medical School - Former Faculty, Department of Neurology
UC Irvine - Faculty, Department of Neurology</v>
      </c>
      <c r="H129" s="18" t="s">
        <v>1008</v>
      </c>
      <c r="I129" s="18" t="s">
        <v>534</v>
      </c>
      <c r="J129" s="18"/>
      <c r="K129" s="19" t="s">
        <v>535</v>
      </c>
      <c r="L129" s="19" t="s">
        <v>1009</v>
      </c>
    </row>
    <row r="130" ht="162.0" customHeight="1">
      <c r="A130" s="18" t="s">
        <v>1010</v>
      </c>
      <c r="B130" s="18" t="s">
        <v>64</v>
      </c>
      <c r="C130" s="18" t="s">
        <v>1011</v>
      </c>
      <c r="D130" s="18" t="s">
        <v>56</v>
      </c>
      <c r="E130" s="18" t="s">
        <v>1012</v>
      </c>
      <c r="F130" s="18" t="s">
        <v>1013</v>
      </c>
      <c r="G130" s="18" t="str">
        <f>IFERROR(__xludf.DUMMYFUNCTION("textjoin(char(10),1,filter(Organizations!D:D,Organizations!A:A=A130))"),"Rutgers University - Professor of Anthropology and Biological Sciences (long tenure)")</f>
        <v>Rutgers University - Professor of Anthropology and Biological Sciences (long tenure)</v>
      </c>
      <c r="H130" s="18" t="s">
        <v>1014</v>
      </c>
      <c r="I130" s="18" t="s">
        <v>1015</v>
      </c>
      <c r="J130" s="18"/>
      <c r="K130" s="19" t="s">
        <v>594</v>
      </c>
      <c r="L130" s="19" t="s">
        <v>1016</v>
      </c>
    </row>
    <row r="131" ht="162.0" customHeight="1">
      <c r="A131" s="18" t="s">
        <v>1017</v>
      </c>
      <c r="B131" s="20" t="s">
        <v>64</v>
      </c>
      <c r="C131" s="18" t="s">
        <v>1018</v>
      </c>
      <c r="D131" s="18" t="s">
        <v>304</v>
      </c>
      <c r="E131" s="18" t="s">
        <v>1019</v>
      </c>
      <c r="F131" s="18" t="s">
        <v>1020</v>
      </c>
      <c r="G131" s="18" t="str">
        <f>IFERROR(__xludf.DUMMYFUNCTION("textjoin(char(10),1,filter(Organizations!D:D,Organizations!A:A=A131))"),"United States of America - 45th &amp; 47th President (2017–2021, 2025–present)
The Trump Organization - Founder/Owner (privately held conglomerate with 500+ entities; real estate, hotels, golf courses, licensing)
Trump Media &amp; Technology Group (TMTG) - Majori"&amp;"ty owner (parent of Truth Social; publicly traded)
Donald J. Trump Foundation - Former Chairman (dissolved 2018 under court supervision)
Previously held interests in: Trump Hotels &amp; Casino Resorts, Miss Universe Organization, Trump University (dissolved),"&amp;" Trump Entertainment Resorts")</f>
        <v>United States of America - 45th &amp; 47th President (2017–2021, 2025–present)
The Trump Organization - Founder/Owner (privately held conglomerate with 500+ entities; real estate, hotels, golf courses, licensing)
Trump Media &amp; Technology Group (TMTG) - Majority owner (parent of Truth Social; publicly traded)
Donald J. Trump Foundation - Former Chairman (dissolved 2018 under court supervision)
Previously held interests in: Trump Hotels &amp; Casino Resorts, Miss Universe Organization, Trump University (dissolved), Trump Entertainment Resorts</v>
      </c>
      <c r="H131" s="18" t="s">
        <v>1021</v>
      </c>
      <c r="I131" s="18" t="s">
        <v>1022</v>
      </c>
      <c r="J131" s="18"/>
      <c r="K131" s="19" t="s">
        <v>1023</v>
      </c>
      <c r="L131" s="19" t="s">
        <v>1024</v>
      </c>
    </row>
    <row r="132" ht="162.0" customHeight="1">
      <c r="A132" s="18" t="s">
        <v>1025</v>
      </c>
      <c r="B132" s="18" t="s">
        <v>98</v>
      </c>
      <c r="C132" s="18" t="s">
        <v>1026</v>
      </c>
      <c r="D132" s="18" t="s">
        <v>82</v>
      </c>
      <c r="E132" s="18" t="s">
        <v>1027</v>
      </c>
      <c r="F132" s="18" t="s">
        <v>1028</v>
      </c>
      <c r="G132" s="18" t="str">
        <f>IFERROR(__xludf.DUMMYFUNCTION("textjoin(char(10),1,filter(Organizations!D:D,Organizations!A:A=A132))"),"The Trump Organization - Executive Vice President and Trustee (co-managing since 2017)
Eric Trump Foundation - Founder (raised funds for St. Jude Children's Research Hospital; later renamed and restructured)
Dominari Holdings - Advisory Board member
Trump"&amp;" Winery - President (Charlottesville, Virginia)")</f>
        <v>The Trump Organization - Executive Vice President and Trustee (co-managing since 2017)
Eric Trump Foundation - Founder (raised funds for St. Jude Children's Research Hospital; later renamed and restructured)
Dominari Holdings - Advisory Board member
Trump Winery - President (Charlottesville, Virginia)</v>
      </c>
      <c r="H132" s="18" t="s">
        <v>1029</v>
      </c>
      <c r="I132" s="18" t="s">
        <v>1030</v>
      </c>
      <c r="J132" s="18"/>
      <c r="K132" s="19" t="s">
        <v>1031</v>
      </c>
      <c r="L132" s="19" t="s">
        <v>1024</v>
      </c>
    </row>
    <row r="133" ht="162.0" customHeight="1">
      <c r="A133" s="18" t="s">
        <v>1032</v>
      </c>
      <c r="B133" s="18" t="s">
        <v>98</v>
      </c>
      <c r="C133" s="18" t="s">
        <v>1033</v>
      </c>
      <c r="D133" s="18" t="s">
        <v>82</v>
      </c>
      <c r="E133" s="18" t="s">
        <v>1034</v>
      </c>
      <c r="F133" s="18" t="s">
        <v>1035</v>
      </c>
      <c r="G133" s="18" t="str">
        <f>IFERROR(__xludf.DUMMYFUNCTION("textjoin(char(10),1,filter(Organizations!D:D,Organizations!A:A=A133))"),"United States - First Lady (2017–2021, 2025–present)
Be Best - Founder (children's well-being initiative during first term as First Lady)
Melania Trump Brand - Head (personal branding, including memoir *Melania* published 2024; fashion and jewelry licensi"&amp;"ng)
Head of State LLC - Founder (merchandising company)")</f>
        <v>United States - First Lady (2017–2021, 2025–present)
Be Best - Founder (children's well-being initiative during first term as First Lady)
Melania Trump Brand - Head (personal branding, including memoir *Melania* published 2024; fashion and jewelry licensing)
Head of State LLC - Founder (merchandising company)</v>
      </c>
      <c r="H133" s="18" t="s">
        <v>1036</v>
      </c>
      <c r="I133" s="18" t="s">
        <v>1037</v>
      </c>
      <c r="J133" s="18"/>
      <c r="K133" s="19" t="s">
        <v>1038</v>
      </c>
      <c r="L133" s="19" t="s">
        <v>1024</v>
      </c>
    </row>
    <row r="134" ht="162.0" customHeight="1">
      <c r="A134" s="18" t="s">
        <v>1039</v>
      </c>
      <c r="B134" s="18" t="s">
        <v>98</v>
      </c>
      <c r="C134" s="18" t="s">
        <v>1026</v>
      </c>
      <c r="D134" s="18" t="s">
        <v>82</v>
      </c>
      <c r="E134" s="18" t="s">
        <v>1027</v>
      </c>
      <c r="F134" s="18" t="s">
        <v>1040</v>
      </c>
      <c r="G134" s="18" t="str">
        <f>IFERROR(__xludf.DUMMYFUNCTION("textjoin(char(10),1,filter(Organizations!D:D,Organizations!A:A=A134))"),"The Trump Organization - Executive Vice President and Trustee (co-managing since 2017)
Trump Media &amp; Technology Group - Board of Directors
1789 Capital - Partner (venture capital firm investing in conservative companies)
Board memberships (post - 2024 ele"&amp;"ction): PublicSquare, GrabAGun, BlinkRx, Colombier Acquisition Corp., Dominari Holdings (advisory board)")</f>
        <v>The Trump Organization - Executive Vice President and Trustee (co-managing since 2017)
Trump Media &amp; Technology Group - Board of Directors
1789 Capital - Partner (venture capital firm investing in conservative companies)
Board memberships (post - 2024 election): PublicSquare, GrabAGun, BlinkRx, Colombier Acquisition Corp., Dominari Holdings (advisory board)</v>
      </c>
      <c r="H134" s="18" t="s">
        <v>1041</v>
      </c>
      <c r="I134" s="18" t="s">
        <v>1042</v>
      </c>
      <c r="J134" s="18"/>
      <c r="K134" s="19" t="s">
        <v>1023</v>
      </c>
      <c r="L134" s="19" t="s">
        <v>1043</v>
      </c>
    </row>
    <row r="135" ht="162.0" customHeight="1">
      <c r="A135" s="18" t="s">
        <v>1044</v>
      </c>
      <c r="B135" s="18" t="s">
        <v>64</v>
      </c>
      <c r="C135" s="18" t="s">
        <v>1045</v>
      </c>
      <c r="D135" s="18" t="s">
        <v>82</v>
      </c>
      <c r="E135" s="18" t="s">
        <v>1046</v>
      </c>
      <c r="F135" s="18" t="s">
        <v>1047</v>
      </c>
      <c r="G135" s="18" t="str">
        <f>IFERROR(__xludf.DUMMYFUNCTION("textjoin(char(10),1,filter(Organizations!D:D,Organizations!A:A=A135))"),"Johnsons Solicitors (Belfast) - Senior Partner (media law)")</f>
        <v>Johnsons Solicitors (Belfast) - Senior Partner (media law)</v>
      </c>
      <c r="H135" s="18" t="s">
        <v>1048</v>
      </c>
      <c r="I135" s="18" t="s">
        <v>1049</v>
      </c>
      <c r="J135" s="18"/>
      <c r="K135" s="19" t="s">
        <v>1050</v>
      </c>
      <c r="L135" s="19" t="s">
        <v>1051</v>
      </c>
    </row>
    <row r="136" ht="162.0" customHeight="1">
      <c r="A136" s="18" t="s">
        <v>1052</v>
      </c>
      <c r="B136" s="18" t="s">
        <v>64</v>
      </c>
      <c r="C136" s="18" t="s">
        <v>1053</v>
      </c>
      <c r="D136" s="18" t="s">
        <v>82</v>
      </c>
      <c r="E136" s="18" t="s">
        <v>532</v>
      </c>
      <c r="F136" s="18" t="s">
        <v>1054</v>
      </c>
      <c r="G136" s="18" t="str">
        <f>IFERROR(__xludf.DUMMYFUNCTION("textjoin(char(10),1,filter(Organizations!D:D,Organizations!A:A=A136))"),"Red Bull Racing - Former driver")</f>
        <v>Red Bull Racing - Former driver</v>
      </c>
      <c r="H136" s="18" t="s">
        <v>1055</v>
      </c>
      <c r="I136" s="18" t="s">
        <v>1056</v>
      </c>
      <c r="J136" s="18"/>
      <c r="K136" s="19" t="s">
        <v>1057</v>
      </c>
      <c r="L136" s="19" t="s">
        <v>1058</v>
      </c>
    </row>
    <row r="137" ht="162.0" customHeight="1">
      <c r="A137" s="18" t="s">
        <v>1059</v>
      </c>
      <c r="B137" s="18" t="s">
        <v>64</v>
      </c>
      <c r="C137" s="18" t="s">
        <v>1060</v>
      </c>
      <c r="D137" s="18" t="s">
        <v>82</v>
      </c>
      <c r="E137" s="18" t="s">
        <v>1061</v>
      </c>
      <c r="F137" s="18" t="s">
        <v>1062</v>
      </c>
      <c r="G137" s="18" t="str">
        <f>IFERROR(__xludf.DUMMYFUNCTION("textjoin(char(10),1,filter(Organizations!D:D,Organizations!A:A=A137))"),"Government of Senegal - Former Minister of State for International Cooperation, Air Transport, Infrastructure and Energy (under his father, President Abdoulaye Wade)
Convicted of illicit enrichment in Senegal (2015); later pardoned (2016)
Member of the Pa"&amp;"rti Démocratique Sénégalais (PDS) - Selected as presidential candidate (2024)")</f>
        <v>Government of Senegal - Former Minister of State for International Cooperation, Air Transport, Infrastructure and Energy (under his father, President Abdoulaye Wade)
Convicted of illicit enrichment in Senegal (2015); later pardoned (2016)
Member of the Parti Démocratique Sénégalais (PDS) - Selected as presidential candidate (2024)</v>
      </c>
      <c r="H137" s="18" t="s">
        <v>1063</v>
      </c>
      <c r="I137" s="18" t="s">
        <v>1064</v>
      </c>
      <c r="J137" s="18"/>
      <c r="K137" s="19" t="s">
        <v>1065</v>
      </c>
      <c r="L137" s="19" t="s">
        <v>1066</v>
      </c>
    </row>
    <row r="138" ht="162.0" customHeight="1">
      <c r="A138" s="18" t="s">
        <v>1067</v>
      </c>
      <c r="B138" s="18" t="s">
        <v>98</v>
      </c>
      <c r="C138" s="18" t="s">
        <v>1068</v>
      </c>
      <c r="D138" s="18" t="s">
        <v>82</v>
      </c>
      <c r="E138" s="18" t="s">
        <v>327</v>
      </c>
      <c r="F138" s="18" t="s">
        <v>1069</v>
      </c>
      <c r="G138" s="18" t="str">
        <f>IFERROR(__xludf.DUMMYFUNCTION("textjoin(char(10),1,filter(Organizations!D:D,Organizations!A:A=A138))"),"Michael Waltrip Racing (MWR) - Founder &amp; Former Co-owner (NASCAR team, 2007–2015)
Waltrip Unfiltered - Founder (media/entertainment brand)
Two - time Daytona 500 winner; NASCAR broadcaster (Fox Sports)")</f>
        <v>Michael Waltrip Racing (MWR) - Founder &amp; Former Co-owner (NASCAR team, 2007–2015)
Waltrip Unfiltered - Founder (media/entertainment brand)
Two - time Daytona 500 winner; NASCAR broadcaster (Fox Sports)</v>
      </c>
      <c r="H138" s="18" t="s">
        <v>1070</v>
      </c>
      <c r="I138" s="18" t="s">
        <v>1071</v>
      </c>
      <c r="J138" s="18"/>
      <c r="K138" s="19" t="s">
        <v>1072</v>
      </c>
      <c r="L138" s="19" t="s">
        <v>1073</v>
      </c>
    </row>
    <row r="139" ht="162.0" customHeight="1">
      <c r="A139" s="18" t="s">
        <v>1074</v>
      </c>
      <c r="B139" s="18" t="s">
        <v>98</v>
      </c>
      <c r="C139" s="18" t="s">
        <v>1075</v>
      </c>
      <c r="D139" s="18" t="s">
        <v>56</v>
      </c>
      <c r="E139" s="18" t="s">
        <v>1076</v>
      </c>
      <c r="F139" s="18" t="s">
        <v>1077</v>
      </c>
      <c r="G139" s="18" t="str">
        <f>IFERROR(__xludf.DUMMYFUNCTION("textjoin(char(10),1,filter(Organizations!D:D,Organizations!A:A=A139))"),"Wasserman (Wasserman Media Group) - Founder, Chairman &amp; CEO (global sports, entertainment, and lifestyle marketing/management agency, 2002; announced sale February 2026 after Epstein-related fallout)
LA28 (2028 Los Angeles Olympic Games) - Chairman of the"&amp;" Organizing Committee
Brillstein Entertainment Partners - Acquired (2023; talent management)
Formerly acquired Paradigm Music division (2021)
Los Angeles Avengers - Former Owner (Arena Football League team, 1998)
Clinton Foundation - Trustee
Wasserman Fou"&amp;"ndation - Major philanthropic donor")</f>
        <v>Wasserman (Wasserman Media Group) - Founder, Chairman &amp; CEO (global sports, entertainment, and lifestyle marketing/management agency, 2002; announced sale February 2026 after Epstein-related fallout)
LA28 (2028 Los Angeles Olympic Games) - Chairman of the Organizing Committee
Brillstein Entertainment Partners - Acquired (2023; talent management)
Formerly acquired Paradigm Music division (2021)
Los Angeles Avengers - Former Owner (Arena Football League team, 1998)
Clinton Foundation - Trustee
Wasserman Foundation - Major philanthropic donor</v>
      </c>
      <c r="H139" s="18" t="s">
        <v>1078</v>
      </c>
      <c r="I139" s="18" t="s">
        <v>1079</v>
      </c>
      <c r="J139" s="18"/>
      <c r="K139" s="19" t="s">
        <v>1080</v>
      </c>
      <c r="L139" s="19" t="s">
        <v>1081</v>
      </c>
    </row>
    <row r="140" ht="162.0" customHeight="1">
      <c r="A140" s="18" t="s">
        <v>1082</v>
      </c>
      <c r="B140" s="18" t="s">
        <v>98</v>
      </c>
      <c r="C140" s="18" t="s">
        <v>1083</v>
      </c>
      <c r="D140" s="18" t="s">
        <v>82</v>
      </c>
      <c r="E140" s="18" t="s">
        <v>1084</v>
      </c>
      <c r="F140" s="18" t="s">
        <v>1085</v>
      </c>
      <c r="G140" s="18" t="str">
        <f>IFERROR(__xludf.DUMMYFUNCTION("textjoin(char(10),1,filter(Organizations!D:D,Organizations!A:A=A140))"),"Miramax Films - Co-founder (with Bob Weinstein, 1979; sold to Disney in 1993 for $80 million)
The Weinstein Company (TWC) - Co-founder &amp; Former Co-Chairman (2005; company filed for bankruptcy and was acquired by Lantern Capital in 2018)
Dimension Films - "&amp;"Co-founder (genre film label within Miramax/TWC)
Convicted of sex crimes; imprisoned")</f>
        <v>Miramax Films - Co-founder (with Bob Weinstein, 1979; sold to Disney in 1993 for $80 million)
The Weinstein Company (TWC) - Co-founder &amp; Former Co-Chairman (2005; company filed for bankruptcy and was acquired by Lantern Capital in 2018)
Dimension Films - Co-founder (genre film label within Miramax/TWC)
Convicted of sex crimes; imprisoned</v>
      </c>
      <c r="H140" s="18" t="s">
        <v>1086</v>
      </c>
      <c r="I140" s="18" t="s">
        <v>1087</v>
      </c>
      <c r="J140" s="18"/>
      <c r="K140" s="19" t="s">
        <v>1088</v>
      </c>
      <c r="L140" s="19" t="s">
        <v>1089</v>
      </c>
    </row>
    <row r="141" ht="162.0" customHeight="1">
      <c r="A141" s="18" t="s">
        <v>1090</v>
      </c>
      <c r="B141" s="18" t="s">
        <v>73</v>
      </c>
      <c r="C141" s="18" t="s">
        <v>1091</v>
      </c>
      <c r="D141" s="18" t="s">
        <v>257</v>
      </c>
      <c r="E141" s="18" t="s">
        <v>1092</v>
      </c>
      <c r="F141" s="18" t="s">
        <v>1093</v>
      </c>
      <c r="G141" s="18" t="str">
        <f>IFERROR(__xludf.DUMMYFUNCTION("textjoin(char(10),1,filter(Organizations!D:D,Organizations!A:A=A141))"),"L Brands (now Bath &amp; Body Works, Inc.) - Founder (1963); Former Chairman &amp; CEO (stepped down as CEO in 2020; Chairman Emeritus)
Brands under L Brands included: Victoria's Secret, Bath &amp; Body Works, Pink, Henri Bendel, The White Barn Candle Company, La Sen"&amp;"za
Previous brands spun off: Abercrombie &amp; Fitch, Express, Lane Bryant, The Limited, Lerner New York, The Limited Too
The Wexner Foundation - Founder (Jewish community leadership development)
Wexner Center for the Arts (Ohio State University) - Founding p"&amp;"atron
Wexner Medical Center (Ohio State University) - Major benefactor
New Albany Company - Co-developer (New Albany, Ohio planned community)
Epstein served as Wexner's financial manager; Wexner later said Epstein ""misappropriated vast sums""")</f>
        <v>L Brands (now Bath &amp; Body Works, Inc.) - Founder (1963); Former Chairman &amp; CEO (stepped down as CEO in 2020; Chairman Emeritus)
Brands under L Brands included: Victoria's Secret, Bath &amp; Body Works, Pink, Henri Bendel, The White Barn Candle Company, La Senza
Previous brands spun off: Abercrombie &amp; Fitch, Express, Lane Bryant, The Limited, Lerner New York, The Limited Too
The Wexner Foundation - Founder (Jewish community leadership development)
Wexner Center for the Arts (Ohio State University) - Founding patron
Wexner Medical Center (Ohio State University) - Major benefactor
New Albany Company - Co-developer (New Albany, Ohio planned community)
Epstein served as Wexner's financial manager; Wexner later said Epstein "misappropriated vast sums"</v>
      </c>
      <c r="H141" s="18" t="s">
        <v>1094</v>
      </c>
      <c r="I141" s="18" t="s">
        <v>1095</v>
      </c>
      <c r="J141" s="18"/>
      <c r="K141" s="19" t="s">
        <v>1096</v>
      </c>
      <c r="L141" s="19" t="s">
        <v>1097</v>
      </c>
    </row>
    <row r="142" ht="162.0" customHeight="1">
      <c r="A142" s="18" t="s">
        <v>1098</v>
      </c>
      <c r="B142" s="18" t="s">
        <v>54</v>
      </c>
      <c r="C142" s="18" t="s">
        <v>1099</v>
      </c>
      <c r="D142" s="18" t="s">
        <v>56</v>
      </c>
      <c r="E142" s="18" t="s">
        <v>1100</v>
      </c>
      <c r="F142" s="18" t="s">
        <v>1101</v>
      </c>
      <c r="G142" s="18" t="str">
        <f>IFERROR(__xludf.DUMMYFUNCTION("textjoin(char(10),1,filter(Organizations!D:D,Organizations!A:A=A142))"),"Metabiota - Founder &amp; Former CEO (pandemic risk analytics and disease surveillance company)
Global Viral (now Labyrinth Global Health) - Founder (non-profit infectious disease research institute)
Stanford University - Visiting Professor of Biology
Member,"&amp;" DARPA Defense Science Research Council
Board member, *EcoHealth* journal and *Scientific American*")</f>
        <v>Metabiota - Founder &amp; Former CEO (pandemic risk analytics and disease surveillance company)
Global Viral (now Labyrinth Global Health) - Founder (non-profit infectious disease research institute)
Stanford University - Visiting Professor of Biology
Member, DARPA Defense Science Research Council
Board member, *EcoHealth* journal and *Scientific American*</v>
      </c>
      <c r="H142" s="18" t="s">
        <v>1102</v>
      </c>
      <c r="I142" s="18" t="s">
        <v>1103</v>
      </c>
      <c r="J142" s="18"/>
      <c r="K142" s="19" t="s">
        <v>1104</v>
      </c>
      <c r="L142" s="19" t="s">
        <v>1105</v>
      </c>
    </row>
    <row r="143" ht="162.0" customHeight="1">
      <c r="A143" s="18" t="s">
        <v>1106</v>
      </c>
      <c r="B143" s="18" t="s">
        <v>64</v>
      </c>
      <c r="C143" s="18" t="s">
        <v>1107</v>
      </c>
      <c r="D143" s="18" t="s">
        <v>82</v>
      </c>
      <c r="E143" s="18" t="s">
        <v>1108</v>
      </c>
      <c r="F143" s="18" t="s">
        <v>1109</v>
      </c>
      <c r="G143" s="18" t="str">
        <f>IFERROR(__xludf.DUMMYFUNCTION("textjoin(char(10),1,filter(Organizations!D:D,Organizations!A:A=A143))"),"Newser - Co-founder (news aggregation website, 2007)
Michael Wolff &amp; Company, Inc. - Founder (book-packaging/internet company, 1991; later collapsed)
Wolff New Media - Founder (internet startup; documented in *Burn Rate*)
Author: *Fire and Fury* (2018), *"&amp;"Siege* (2019), *Landslide* (2021), *All or Nothing* (2025)
Former columnist/editor: *Adweek*, *Vanity Fair*, *USA Today*, *The Hollywood Reporter*")</f>
        <v>Newser - Co-founder (news aggregation website, 2007)
Michael Wolff &amp; Company, Inc. - Founder (book-packaging/internet company, 1991; later collapsed)
Wolff New Media - Founder (internet startup; documented in *Burn Rate*)
Author: *Fire and Fury* (2018), *Siege* (2019), *Landslide* (2021), *All or Nothing* (2025)
Former columnist/editor: *Adweek*, *Vanity Fair*, *USA Today*, *The Hollywood Reporter*</v>
      </c>
      <c r="H143" s="18" t="s">
        <v>1110</v>
      </c>
      <c r="I143" s="18" t="s">
        <v>1111</v>
      </c>
      <c r="J143" s="18"/>
      <c r="K143" s="19" t="s">
        <v>1072</v>
      </c>
      <c r="L143" s="19" t="s">
        <v>1112</v>
      </c>
    </row>
    <row r="144" ht="162.0" customHeight="1">
      <c r="A144" s="18" t="s">
        <v>1113</v>
      </c>
      <c r="B144" s="18" t="s">
        <v>98</v>
      </c>
      <c r="C144" s="18" t="s">
        <v>1114</v>
      </c>
      <c r="D144" s="18" t="s">
        <v>82</v>
      </c>
      <c r="E144" s="18" t="s">
        <v>1115</v>
      </c>
      <c r="F144" s="18" t="s">
        <v>1116</v>
      </c>
      <c r="G144" s="18" t="str">
        <f>IFERROR(__xludf.DUMMYFUNCTION("textjoin(char(10),1,filter(Organizations!D:D,Organizations!A:A=A144))"),"Meta Platforms, Inc. (formerly Facebook, Inc.) - Founder, Chairman &amp; CEO (since 2004)
Chan Zuckerberg Initiative (CZI) - Co-founder &amp; Co-CEO (with wife Priscilla Chan, 2015; LLC focused on education, science, justice reform)
Companies owned by Meta includ"&amp;"e: Facebook, Instagram (acquired 2012, $1B), WhatsApp (acquired 2014, $19B), Oculus VR / Reality Labs (acquired 2014, $2B), Threads (launched 2023), Giphy, Mapillary, Kustomer, CTRL-Labs, and many others
Meta AI - Division developing LLaMA and other AI mo"&amp;"dels
Owns approximately 12% of Meta stock")</f>
        <v>Meta Platforms, Inc. (formerly Facebook, Inc.) - Founder, Chairman &amp; CEO (since 2004)
Chan Zuckerberg Initiative (CZI) - Co-founder &amp; Co-CEO (with wife Priscilla Chan, 2015; LLC focused on education, science, justice reform)
Companies owned by Meta include: Facebook, Instagram (acquired 2012, $1B), WhatsApp (acquired 2014, $19B), Oculus VR / Reality Labs (acquired 2014, $2B), Threads (launched 2023), Giphy, Mapillary, Kustomer, CTRL-Labs, and many others
Meta AI - Division developing LLaMA and other AI models
Owns approximately 12% of Meta stock</v>
      </c>
      <c r="H144" s="18" t="s">
        <v>1117</v>
      </c>
      <c r="I144" s="20" t="s">
        <v>1118</v>
      </c>
      <c r="J144" s="18"/>
      <c r="K144" s="19" t="s">
        <v>535</v>
      </c>
      <c r="L144" s="19" t="s">
        <v>1119</v>
      </c>
    </row>
    <row r="145" ht="162.0" customHeight="1">
      <c r="A145" s="18" t="s">
        <v>1120</v>
      </c>
      <c r="B145" s="18" t="s">
        <v>98</v>
      </c>
      <c r="C145" s="18" t="s">
        <v>1121</v>
      </c>
      <c r="D145" s="18" t="s">
        <v>82</v>
      </c>
      <c r="E145" s="18" t="s">
        <v>1122</v>
      </c>
      <c r="F145" s="18" t="s">
        <v>1123</v>
      </c>
      <c r="G145" s="18" t="str">
        <f>IFERROR(__xludf.DUMMYFUNCTION("textjoin(char(10),1,filter(Organizations!D:D,Organizations!A:A=A145))"),"South Africa - Former President (2009–2018; recalled by ANC)
African National Congress (ANC) - Former President (2007–2017); Former Deputy President
uMkhonto we Sizwe (MK) Party - Founder/Leader (new political party formed 2023, named after the ANC's form"&amp;"er armed wing)
Jacob Zuma RDP Educational Trust Fund - Founder (1998; has educated 20,000+ children)
Moral Regeneration Movement - Founder/Launcher
Former Deputy President of South Africa (1999 - 2005)
Former Chairperson, South African National AIDS Counc"&amp;"il")</f>
        <v>South Africa - Former President (2009–2018; recalled by ANC)
African National Congress (ANC) - Former President (2007–2017); Former Deputy President
uMkhonto we Sizwe (MK) Party - Founder/Leader (new political party formed 2023, named after the ANC's former armed wing)
Jacob Zuma RDP Educational Trust Fund - Founder (1998; has educated 20,000+ children)
Moral Regeneration Movement - Founder/Launcher
Former Deputy President of South Africa (1999 - 2005)
Former Chairperson, South African National AIDS Council</v>
      </c>
      <c r="H145" s="18" t="s">
        <v>1124</v>
      </c>
      <c r="I145" s="18" t="s">
        <v>1125</v>
      </c>
      <c r="J145" s="18"/>
      <c r="K145" s="19" t="s">
        <v>1126</v>
      </c>
      <c r="L145" s="19" t="s">
        <v>1127</v>
      </c>
    </row>
    <row r="146" ht="162.0" customHeight="1">
      <c r="A146" s="18" t="s">
        <v>1128</v>
      </c>
      <c r="B146" s="18" t="s">
        <v>98</v>
      </c>
      <c r="C146" s="18" t="s">
        <v>1129</v>
      </c>
      <c r="D146" s="18" t="s">
        <v>82</v>
      </c>
      <c r="E146" s="18" t="s">
        <v>692</v>
      </c>
      <c r="F146" s="18" t="s">
        <v>1130</v>
      </c>
      <c r="G146" s="18" t="str">
        <f>IFERROR(__xludf.DUMMYFUNCTION("textjoin(char(10),1,filter(Organizations!D:D,Organizations!A:A=A146))"),"Roc Nation - Founder &amp; CEO (entertainment/sports management company)
Marcy Venture Partners - Co-founder (venture capital fund)
Roc-A-Fella Records - Co-founder (with Damon Dash and Kareem Burke)
Rocawear - Co-founder (clothing line; sold to Iconix Brand "&amp;"Group in 2007)
Tidal - Former majority owner (music streaming; sold to Square/Block in 2021)
Armand de Brignac (Ace of Spades) - Former owner (champagne brand; sold 50% to LVMH in 2021)
D'Ussé - Co-brand owner with Bacardi (cognac)
Shawn Carter Foundation"&amp;" - Co-founder (scholarship non-profit)
Team Roc - Social justice initiative within Roc Nation
Early investor in Uber (Series B, 2011) and JetSmarter")</f>
        <v>Roc Nation - Founder &amp; CEO (entertainment/sports management company)
Marcy Venture Partners - Co-founder (venture capital fund)
Roc-A-Fella Records - Co-founder (with Damon Dash and Kareem Burke)
Rocawear - Co-founder (clothing line; sold to Iconix Brand Group in 2007)
Tidal - Former majority owner (music streaming; sold to Square/Block in 2021)
Armand de Brignac (Ace of Spades) - Former owner (champagne brand; sold 50% to LVMH in 2021)
D'Ussé - Co-brand owner with Bacardi (cognac)
Shawn Carter Foundation - Co-founder (scholarship non-profit)
Team Roc - Social justice initiative within Roc Nation
Early investor in Uber (Series B, 2011) and JetSmarter</v>
      </c>
      <c r="H146" s="18" t="s">
        <v>1131</v>
      </c>
      <c r="I146" s="18" t="s">
        <v>1132</v>
      </c>
      <c r="J146" s="18"/>
      <c r="K146" s="19" t="s">
        <v>1133</v>
      </c>
      <c r="L146" s="19"/>
    </row>
    <row r="147" ht="15.75" customHeight="1"/>
  </sheetData>
  <autoFilter ref="$A$1:$L$146"/>
  <conditionalFormatting sqref="B1:B146">
    <cfRule type="cellIs" dxfId="0" priority="1" operator="equal">
      <formula>"Low"</formula>
    </cfRule>
  </conditionalFormatting>
  <conditionalFormatting sqref="B1:B146">
    <cfRule type="cellIs" dxfId="1" priority="2" operator="equal">
      <formula>"Moderate"</formula>
    </cfRule>
  </conditionalFormatting>
  <conditionalFormatting sqref="B1:B146">
    <cfRule type="cellIs" dxfId="2" priority="3" operator="equal">
      <formula>"High"</formula>
    </cfRule>
  </conditionalFormatting>
  <conditionalFormatting sqref="B1:B146">
    <cfRule type="cellIs" dxfId="3" priority="4" operator="equal">
      <formula>"Very High"</formula>
    </cfRule>
  </conditionalFormatting>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75"/>
    <col customWidth="1" min="2" max="2" width="125.25"/>
    <col customWidth="1" min="3" max="3" width="59.13"/>
    <col customWidth="1" min="4" max="6" width="12.63"/>
    <col customWidth="1" min="7" max="26" width="8.63"/>
  </cols>
  <sheetData>
    <row r="1" ht="15.75" customHeight="1">
      <c r="A1" s="21" t="s">
        <v>42</v>
      </c>
      <c r="B1" s="21" t="s">
        <v>1134</v>
      </c>
      <c r="C1" s="21" t="s">
        <v>1135</v>
      </c>
      <c r="D1" s="21" t="s">
        <v>1136</v>
      </c>
    </row>
    <row r="2" ht="15.75" customHeight="1">
      <c r="A2" s="21" t="s">
        <v>53</v>
      </c>
      <c r="B2" s="21" t="s">
        <v>1137</v>
      </c>
      <c r="C2" s="21" t="s">
        <v>1138</v>
      </c>
      <c r="D2" s="21" t="str">
        <f t="shared" ref="D2:D799" si="1">textjoin(" - ",1,B2,C2)</f>
        <v>Gravier Productions - His personal production company used to produce his films</v>
      </c>
    </row>
    <row r="3" ht="15.75" customHeight="1">
      <c r="A3" s="21" t="s">
        <v>53</v>
      </c>
      <c r="B3" s="21" t="s">
        <v>1139</v>
      </c>
      <c r="D3" s="21" t="str">
        <f t="shared" si="1"/>
        <v>Previous production/distribution partnerships with Sweetland Films, TriStar Pictures, Orion Pictures, United Artists, and Amazon Studios</v>
      </c>
    </row>
    <row r="4" ht="15.75" customHeight="1">
      <c r="A4" s="21" t="s">
        <v>63</v>
      </c>
      <c r="B4" s="21" t="s">
        <v>1140</v>
      </c>
      <c r="C4" s="21" t="s">
        <v>1141</v>
      </c>
      <c r="D4" s="21" t="str">
        <f t="shared" si="1"/>
        <v>Reliance Group - (ADA Group) — Founder and Chairman</v>
      </c>
    </row>
    <row r="5" ht="15.75" customHeight="1">
      <c r="A5" s="21" t="s">
        <v>63</v>
      </c>
      <c r="B5" s="21" t="s">
        <v>1142</v>
      </c>
      <c r="C5" s="21" t="s">
        <v>1143</v>
      </c>
      <c r="D5" s="21" t="str">
        <f t="shared" si="1"/>
        <v>Reliance Communications - Chairman</v>
      </c>
    </row>
    <row r="6" ht="15.75" customHeight="1">
      <c r="A6" s="21" t="s">
        <v>63</v>
      </c>
      <c r="B6" s="21" t="s">
        <v>1144</v>
      </c>
      <c r="C6" s="21" t="s">
        <v>1143</v>
      </c>
      <c r="D6" s="21" t="str">
        <f t="shared" si="1"/>
        <v>Reliance Capital - Chairman</v>
      </c>
    </row>
    <row r="7" ht="15.75" customHeight="1">
      <c r="A7" s="21" t="s">
        <v>63</v>
      </c>
      <c r="B7" s="21" t="s">
        <v>1145</v>
      </c>
      <c r="C7" s="21" t="s">
        <v>1143</v>
      </c>
      <c r="D7" s="21" t="str">
        <f t="shared" si="1"/>
        <v>Reliance Infrastructure - Chairman</v>
      </c>
    </row>
    <row r="8" ht="15.75" customHeight="1">
      <c r="A8" s="21" t="s">
        <v>63</v>
      </c>
      <c r="B8" s="21" t="s">
        <v>1146</v>
      </c>
      <c r="C8" s="21" t="s">
        <v>1143</v>
      </c>
      <c r="D8" s="21" t="str">
        <f t="shared" si="1"/>
        <v>Reliance Power - Chairman</v>
      </c>
    </row>
    <row r="9" ht="15.75" customHeight="1">
      <c r="A9" s="21" t="s">
        <v>63</v>
      </c>
      <c r="B9" s="21" t="s">
        <v>1147</v>
      </c>
      <c r="C9" s="21" t="s">
        <v>1143</v>
      </c>
      <c r="D9" s="21" t="str">
        <f t="shared" si="1"/>
        <v>Reliance Defence and Engineering Limited - Chairman</v>
      </c>
    </row>
    <row r="10" ht="15.75" customHeight="1">
      <c r="A10" s="21" t="s">
        <v>63</v>
      </c>
      <c r="B10" s="21" t="s">
        <v>1148</v>
      </c>
      <c r="C10" s="21" t="s">
        <v>1143</v>
      </c>
      <c r="D10" s="21" t="str">
        <f t="shared" si="1"/>
        <v>Reliance Defence Limited - Chairman</v>
      </c>
    </row>
    <row r="11" ht="15.75" customHeight="1">
      <c r="A11" s="21" t="s">
        <v>63</v>
      </c>
      <c r="B11" s="21" t="s">
        <v>1149</v>
      </c>
      <c r="C11" s="21" t="s">
        <v>1143</v>
      </c>
      <c r="D11" s="21" t="str">
        <f t="shared" si="1"/>
        <v>Reliance Defence Technologies Private Limited - Chairman</v>
      </c>
    </row>
    <row r="12" ht="15.75" customHeight="1">
      <c r="A12" s="21" t="s">
        <v>63</v>
      </c>
      <c r="B12" s="21" t="s">
        <v>1150</v>
      </c>
      <c r="C12" s="21" t="s">
        <v>1143</v>
      </c>
      <c r="D12" s="21" t="str">
        <f t="shared" si="1"/>
        <v>Reliance Naval &amp; Engineering Ltd - Chairman</v>
      </c>
    </row>
    <row r="13" ht="15.75" customHeight="1">
      <c r="A13" s="21" t="s">
        <v>72</v>
      </c>
      <c r="B13" s="21" t="s">
        <v>1151</v>
      </c>
      <c r="C13" s="21" t="s">
        <v>1152</v>
      </c>
      <c r="D13" s="21" t="str">
        <f t="shared" si="1"/>
        <v>Dubin Breast Center - (Tisch Cancer Institute, Mount Sinai) — Founder</v>
      </c>
    </row>
    <row r="14" ht="15.75" customHeight="1">
      <c r="A14" s="21" t="s">
        <v>72</v>
      </c>
      <c r="B14" s="21" t="s">
        <v>1153</v>
      </c>
      <c r="C14" s="21" t="s">
        <v>1154</v>
      </c>
      <c r="D14" s="21" t="str">
        <f t="shared" si="1"/>
        <v>Mount Sinai Medical Center - Board of Directors (since 2014)</v>
      </c>
    </row>
    <row r="15" ht="15.75" customHeight="1">
      <c r="A15" s="21" t="s">
        <v>72</v>
      </c>
      <c r="B15" s="21" t="s">
        <v>1155</v>
      </c>
      <c r="C15" s="21" t="s">
        <v>1156</v>
      </c>
      <c r="D15" s="21" t="str">
        <f t="shared" si="1"/>
        <v>Breast Cancer Alliance - Medical Advisory Board</v>
      </c>
    </row>
    <row r="16" ht="15.75" customHeight="1">
      <c r="A16" s="21" t="s">
        <v>72</v>
      </c>
      <c r="B16" s="21" t="s">
        <v>1157</v>
      </c>
      <c r="C16" s="21" t="s">
        <v>1158</v>
      </c>
      <c r="D16" s="21" t="str">
        <f t="shared" si="1"/>
        <v>Michael J. Fox Foundation - Former Board</v>
      </c>
    </row>
    <row r="17" ht="15.75" customHeight="1">
      <c r="A17" s="21" t="s">
        <v>72</v>
      </c>
      <c r="B17" s="21" t="s">
        <v>1159</v>
      </c>
      <c r="C17" s="21" t="s">
        <v>1158</v>
      </c>
      <c r="D17" s="21" t="str">
        <f t="shared" si="1"/>
        <v>Alliance for Lupus Research - Former Board</v>
      </c>
    </row>
    <row r="18" ht="15.75" customHeight="1">
      <c r="A18" s="21" t="s">
        <v>72</v>
      </c>
      <c r="B18" s="21" t="s">
        <v>1160</v>
      </c>
      <c r="C18" s="21" t="s">
        <v>1161</v>
      </c>
      <c r="D18" s="21" t="str">
        <f t="shared" si="1"/>
        <v>Friends of the Karolinska - Board</v>
      </c>
    </row>
    <row r="19" ht="15.75" customHeight="1">
      <c r="A19" s="21" t="s">
        <v>72</v>
      </c>
      <c r="B19" s="21" t="s">
        <v>1162</v>
      </c>
      <c r="C19" s="21" t="s">
        <v>1158</v>
      </c>
      <c r="D19" s="21" t="str">
        <f t="shared" si="1"/>
        <v>Trinity School of New York - Former Board</v>
      </c>
    </row>
    <row r="20" ht="15.75" customHeight="1">
      <c r="A20" s="21" t="s">
        <v>72</v>
      </c>
      <c r="B20" s="21" t="s">
        <v>1163</v>
      </c>
      <c r="C20" s="21" t="s">
        <v>1164</v>
      </c>
      <c r="D20" s="21" t="str">
        <f t="shared" si="1"/>
        <v>Dubin Family Foundation - Co-leader</v>
      </c>
    </row>
    <row r="21" ht="15.75" customHeight="1">
      <c r="A21" s="21" t="s">
        <v>80</v>
      </c>
      <c r="B21" s="21" t="s">
        <v>1165</v>
      </c>
      <c r="C21" s="21" t="s">
        <v>1166</v>
      </c>
      <c r="D21" s="21" t="str">
        <f t="shared" si="1"/>
        <v>Center for Advanced Hindsight - (Duke University) — Founder</v>
      </c>
    </row>
    <row r="22" ht="15.75" customHeight="1">
      <c r="A22" s="21" t="s">
        <v>80</v>
      </c>
      <c r="B22" s="21" t="s">
        <v>1167</v>
      </c>
      <c r="C22" s="21" t="s">
        <v>1168</v>
      </c>
      <c r="D22" s="21" t="str">
        <f t="shared" si="1"/>
        <v>BEworks - Co-founder (acquired by Kyu, 2017)</v>
      </c>
    </row>
    <row r="23" ht="15.75" customHeight="1">
      <c r="A23" s="21" t="s">
        <v>80</v>
      </c>
      <c r="B23" s="21" t="s">
        <v>1169</v>
      </c>
      <c r="C23" s="21" t="s">
        <v>1170</v>
      </c>
      <c r="D23" s="21" t="str">
        <f t="shared" si="1"/>
        <v>Timeful - Co-founder (acquired by Google, 2015)</v>
      </c>
    </row>
    <row r="24" ht="15.75" customHeight="1">
      <c r="A24" s="21" t="s">
        <v>80</v>
      </c>
      <c r="B24" s="21" t="s">
        <v>1171</v>
      </c>
      <c r="C24" s="21" t="s">
        <v>1172</v>
      </c>
      <c r="D24" s="21" t="str">
        <f t="shared" si="1"/>
        <v>Irrational Labs - Co-founder</v>
      </c>
    </row>
    <row r="25" ht="15.75" customHeight="1">
      <c r="A25" s="21" t="s">
        <v>80</v>
      </c>
      <c r="B25" s="21" t="s">
        <v>1173</v>
      </c>
      <c r="C25" s="21" t="s">
        <v>1174</v>
      </c>
      <c r="D25" s="21" t="str">
        <f t="shared" si="1"/>
        <v>Genie - (kitchen appliance company) — Co-founder</v>
      </c>
    </row>
    <row r="26" ht="15.75" customHeight="1">
      <c r="A26" s="21" t="s">
        <v>80</v>
      </c>
      <c r="B26" s="21" t="s">
        <v>1175</v>
      </c>
      <c r="C26" s="21" t="s">
        <v>1172</v>
      </c>
      <c r="D26" s="21" t="str">
        <f t="shared" si="1"/>
        <v>Shapa Health - Co-founder</v>
      </c>
    </row>
    <row r="27" ht="15.75" customHeight="1">
      <c r="A27" s="21" t="s">
        <v>80</v>
      </c>
      <c r="B27" s="21" t="s">
        <v>1176</v>
      </c>
      <c r="C27" s="21" t="s">
        <v>1177</v>
      </c>
      <c r="D27" s="21" t="str">
        <f t="shared" si="1"/>
        <v>Irrational Capital - Co-founder and Partner</v>
      </c>
    </row>
    <row r="28" ht="15.75" customHeight="1">
      <c r="A28" s="21" t="s">
        <v>80</v>
      </c>
      <c r="B28" s="21" t="s">
        <v>1178</v>
      </c>
      <c r="C28" s="21" t="s">
        <v>1172</v>
      </c>
      <c r="D28" s="21" t="str">
        <f t="shared" si="1"/>
        <v>Kayma Labs - Co-founder</v>
      </c>
    </row>
    <row r="29" ht="15.75" customHeight="1">
      <c r="A29" s="21" t="s">
        <v>80</v>
      </c>
      <c r="B29" s="21" t="s">
        <v>1179</v>
      </c>
      <c r="C29" s="21" t="s">
        <v>1180</v>
      </c>
      <c r="D29" s="21" t="str">
        <f t="shared" si="1"/>
        <v>Epilog - Co-founder and Chief Behavioral Officer</v>
      </c>
    </row>
    <row r="30" ht="15.75" customHeight="1">
      <c r="A30" s="21" t="s">
        <v>80</v>
      </c>
      <c r="B30" s="21" t="s">
        <v>1181</v>
      </c>
      <c r="C30" s="21" t="s">
        <v>1182</v>
      </c>
      <c r="D30" s="21" t="str">
        <f t="shared" si="1"/>
        <v>Lemonade Inc. - Chief Behavioral Officer</v>
      </c>
    </row>
    <row r="31" ht="15.75" customHeight="1">
      <c r="A31" s="21" t="s">
        <v>80</v>
      </c>
      <c r="B31" s="21" t="s">
        <v>1183</v>
      </c>
      <c r="C31" s="21" t="s">
        <v>1184</v>
      </c>
      <c r="D31" s="21" t="str">
        <f t="shared" si="1"/>
        <v>Qapital - Former Chairman of the Board</v>
      </c>
    </row>
    <row r="32" ht="15.75" customHeight="1">
      <c r="A32" s="21" t="s">
        <v>80</v>
      </c>
      <c r="B32" s="21" t="s">
        <v>1185</v>
      </c>
      <c r="C32" s="21" t="s">
        <v>1186</v>
      </c>
      <c r="D32" s="21" t="str">
        <f t="shared" si="1"/>
        <v>Communitas Capital Partners - Advisory Board</v>
      </c>
    </row>
    <row r="33" ht="15.75" customHeight="1">
      <c r="A33" s="21" t="s">
        <v>89</v>
      </c>
      <c r="B33" s="21" t="s">
        <v>1187</v>
      </c>
      <c r="C33" s="21" t="s">
        <v>1188</v>
      </c>
      <c r="D33" s="21" t="str">
        <f t="shared" si="1"/>
        <v>Early Medical - Founder</v>
      </c>
    </row>
    <row r="34" ht="15.75" customHeight="1">
      <c r="A34" s="21" t="s">
        <v>89</v>
      </c>
      <c r="B34" s="21" t="s">
        <v>1189</v>
      </c>
      <c r="C34" s="21" t="s">
        <v>1172</v>
      </c>
      <c r="D34" s="21" t="str">
        <f t="shared" si="1"/>
        <v>10 Squared - Co-founder</v>
      </c>
    </row>
    <row r="35" ht="15.75" customHeight="1">
      <c r="A35" s="21" t="s">
        <v>89</v>
      </c>
      <c r="B35" s="21" t="s">
        <v>1190</v>
      </c>
      <c r="C35" s="21" t="s">
        <v>1191</v>
      </c>
      <c r="D35" s="21" t="str">
        <f t="shared" si="1"/>
        <v>The Peter Attia Drive - (podcast) — Host/Creator</v>
      </c>
    </row>
    <row r="36" ht="15.75" customHeight="1">
      <c r="A36" s="21" t="s">
        <v>89</v>
      </c>
      <c r="B36" s="21" t="s">
        <v>1192</v>
      </c>
      <c r="C36" s="21" t="s">
        <v>1193</v>
      </c>
      <c r="D36" s="21" t="str">
        <f t="shared" si="1"/>
        <v>CBS News - Contributor</v>
      </c>
    </row>
    <row r="37" ht="15.75" customHeight="1">
      <c r="A37" s="21" t="s">
        <v>97</v>
      </c>
      <c r="B37" s="21" t="s">
        <v>1194</v>
      </c>
      <c r="C37" s="21" t="s">
        <v>1195</v>
      </c>
      <c r="D37" s="21" t="str">
        <f t="shared" si="1"/>
        <v>Government of Spain - President (Prime Minister), 1996–2004</v>
      </c>
    </row>
    <row r="38" ht="15.75" customHeight="1">
      <c r="A38" s="21" t="s">
        <v>97</v>
      </c>
      <c r="B38" s="21" t="s">
        <v>1196</v>
      </c>
      <c r="C38" s="21" t="s">
        <v>1197</v>
      </c>
      <c r="D38" s="21" t="str">
        <f t="shared" si="1"/>
        <v>Partido Popular - Former Executive President (1990–2004)</v>
      </c>
    </row>
    <row r="39" ht="15.75" customHeight="1">
      <c r="A39" s="21" t="s">
        <v>97</v>
      </c>
      <c r="B39" s="21" t="s">
        <v>1198</v>
      </c>
      <c r="C39" s="21" t="s">
        <v>1199</v>
      </c>
      <c r="D39" s="21" t="str">
        <f t="shared" si="1"/>
        <v>FAES (Foundation for Social Studies and Analysis) - President (since 1989)</v>
      </c>
    </row>
    <row r="40" ht="15.75" customHeight="1">
      <c r="A40" s="21" t="s">
        <v>97</v>
      </c>
      <c r="B40" s="21" t="s">
        <v>1200</v>
      </c>
      <c r="C40" s="21" t="s">
        <v>1201</v>
      </c>
      <c r="D40" s="21" t="str">
        <f t="shared" si="1"/>
        <v>News Corp - Independent Non-Executive Director (since 2013)</v>
      </c>
    </row>
    <row r="41" ht="15.75" customHeight="1">
      <c r="A41" s="21" t="s">
        <v>97</v>
      </c>
      <c r="B41" s="21" t="s">
        <v>1202</v>
      </c>
      <c r="C41" s="21" t="s">
        <v>1203</v>
      </c>
      <c r="D41" s="21" t="str">
        <f t="shared" si="1"/>
        <v>Afiniti, Inc. / Afiniti Ltd. (Bermuda) - Director</v>
      </c>
    </row>
    <row r="42" ht="15.75" customHeight="1">
      <c r="A42" s="21" t="s">
        <v>97</v>
      </c>
      <c r="B42" s="21" t="s">
        <v>1204</v>
      </c>
      <c r="C42" s="21" t="s">
        <v>1188</v>
      </c>
      <c r="D42" s="21" t="str">
        <f t="shared" si="1"/>
        <v>U.S.-Spain Council, Inc. - Founder</v>
      </c>
    </row>
    <row r="43" ht="15.75" customHeight="1">
      <c r="A43" s="21" t="s">
        <v>97</v>
      </c>
      <c r="B43" s="21" t="s">
        <v>1205</v>
      </c>
      <c r="C43" s="21" t="s">
        <v>1188</v>
      </c>
      <c r="D43" s="21" t="str">
        <f t="shared" si="1"/>
        <v>Friends of Israel Initiative - Founder</v>
      </c>
    </row>
    <row r="44" ht="15.75" customHeight="1">
      <c r="A44" s="21" t="s">
        <v>97</v>
      </c>
      <c r="B44" s="21" t="s">
        <v>1206</v>
      </c>
      <c r="C44" s="21" t="s">
        <v>1207</v>
      </c>
      <c r="D44" s="21" t="str">
        <f t="shared" si="1"/>
        <v>Bussola Institute - President-Honorary Board</v>
      </c>
    </row>
    <row r="45" ht="15.75" customHeight="1">
      <c r="A45" s="21" t="s">
        <v>97</v>
      </c>
      <c r="B45" s="21" t="s">
        <v>1208</v>
      </c>
      <c r="C45" s="21" t="s">
        <v>1209</v>
      </c>
      <c r="D45" s="21" t="str">
        <f t="shared" si="1"/>
        <v>Barrick Gold - International Advisory Board</v>
      </c>
    </row>
    <row r="46" ht="15.75" customHeight="1">
      <c r="A46" s="21" t="s">
        <v>97</v>
      </c>
      <c r="B46" s="21" t="s">
        <v>1210</v>
      </c>
      <c r="C46" s="21" t="s">
        <v>1211</v>
      </c>
      <c r="D46" s="21" t="str">
        <f t="shared" si="1"/>
        <v>State Council of Spain - Former member</v>
      </c>
    </row>
    <row r="47" ht="15.75" customHeight="1">
      <c r="A47" s="21" t="s">
        <v>105</v>
      </c>
      <c r="B47" s="21" t="s">
        <v>1212</v>
      </c>
      <c r="C47" s="21" t="s">
        <v>1213</v>
      </c>
      <c r="D47" s="21" t="str">
        <f t="shared" si="1"/>
        <v>California Institute for Machine Consciousness (CIMC) - Executive Director (since 2025)</v>
      </c>
    </row>
    <row r="48" ht="15.75" customHeight="1">
      <c r="A48" s="21" t="s">
        <v>105</v>
      </c>
      <c r="B48" s="21" t="s">
        <v>1214</v>
      </c>
      <c r="C48" s="21" t="s">
        <v>1215</v>
      </c>
      <c r="D48" s="21" t="str">
        <f t="shared" si="1"/>
        <v>Liquid AI - AI Strategist (since 2023)</v>
      </c>
    </row>
    <row r="49" ht="15.75" customHeight="1">
      <c r="A49" s="21" t="s">
        <v>105</v>
      </c>
      <c r="B49" s="21" t="s">
        <v>1216</v>
      </c>
      <c r="C49" s="21" t="s">
        <v>1217</v>
      </c>
      <c r="D49" s="21" t="str">
        <f t="shared" si="1"/>
        <v>AI Foundation - Former VP of Research</v>
      </c>
    </row>
    <row r="50" ht="15.75" customHeight="1">
      <c r="A50" s="21" t="s">
        <v>105</v>
      </c>
      <c r="B50" s="21" t="s">
        <v>1218</v>
      </c>
      <c r="C50" s="21" t="s">
        <v>1219</v>
      </c>
      <c r="D50" s="21" t="str">
        <f t="shared" si="1"/>
        <v>Intel Labs - Former Principal AI Engineer</v>
      </c>
    </row>
    <row r="51" ht="15.75" customHeight="1">
      <c r="A51" s="21" t="s">
        <v>105</v>
      </c>
      <c r="B51" s="21" t="s">
        <v>1220</v>
      </c>
      <c r="C51" s="21" t="s">
        <v>1172</v>
      </c>
      <c r="D51" s="21" t="str">
        <f t="shared" si="1"/>
        <v>Klayo AG - Co-founder</v>
      </c>
    </row>
    <row r="52" ht="15.75" customHeight="1">
      <c r="A52" s="21" t="s">
        <v>105</v>
      </c>
      <c r="B52" s="21" t="s">
        <v>1221</v>
      </c>
      <c r="C52" s="21" t="s">
        <v>1172</v>
      </c>
      <c r="D52" s="21" t="str">
        <f t="shared" si="1"/>
        <v>txtr GmbH - Co-founder</v>
      </c>
    </row>
    <row r="53" ht="15.75" customHeight="1">
      <c r="A53" s="21" t="s">
        <v>105</v>
      </c>
      <c r="B53" s="21" t="s">
        <v>1222</v>
      </c>
      <c r="C53" s="21" t="s">
        <v>1172</v>
      </c>
      <c r="D53" s="21" t="str">
        <f t="shared" si="1"/>
        <v>Wizpac Ltd. - Co-founder</v>
      </c>
    </row>
    <row r="54" ht="15.75" customHeight="1">
      <c r="A54" s="21" t="s">
        <v>112</v>
      </c>
      <c r="B54" s="21" t="s">
        <v>1223</v>
      </c>
      <c r="C54" s="21" t="s">
        <v>1224</v>
      </c>
      <c r="D54" s="21" t="str">
        <f t="shared" si="1"/>
        <v>Breitbart News - Co-founder; Executive Chairman (2012–2018)</v>
      </c>
    </row>
    <row r="55" ht="15.75" customHeight="1">
      <c r="A55" s="21" t="s">
        <v>112</v>
      </c>
      <c r="B55" s="21" t="s">
        <v>1225</v>
      </c>
      <c r="C55" s="21" t="s">
        <v>1172</v>
      </c>
      <c r="D55" s="21" t="str">
        <f t="shared" si="1"/>
        <v>Government Accountability Institute - Co-founder</v>
      </c>
    </row>
    <row r="56" ht="15.75" customHeight="1">
      <c r="A56" s="21" t="s">
        <v>112</v>
      </c>
      <c r="B56" s="21" t="s">
        <v>1226</v>
      </c>
      <c r="C56" s="21" t="s">
        <v>1227</v>
      </c>
      <c r="D56" s="21" t="str">
        <f t="shared" si="1"/>
        <v>Cambridge Analytica - Former Vice President</v>
      </c>
    </row>
    <row r="57" ht="15.75" customHeight="1">
      <c r="A57" s="21" t="s">
        <v>112</v>
      </c>
      <c r="B57" s="21" t="s">
        <v>1228</v>
      </c>
      <c r="C57" s="21" t="s">
        <v>1229</v>
      </c>
      <c r="D57" s="21" t="str">
        <f t="shared" si="1"/>
        <v>The White House - Former Chief Strategist (2017)</v>
      </c>
    </row>
    <row r="58" ht="15.75" customHeight="1">
      <c r="A58" s="21" t="s">
        <v>112</v>
      </c>
      <c r="B58" s="21" t="s">
        <v>1230</v>
      </c>
      <c r="C58" s="21" t="s">
        <v>1231</v>
      </c>
      <c r="D58" s="21" t="str">
        <f t="shared" si="1"/>
        <v>War Room - (podcast) — Host</v>
      </c>
    </row>
    <row r="59" ht="15.75" customHeight="1">
      <c r="A59" s="21" t="s">
        <v>120</v>
      </c>
      <c r="B59" s="21" t="s">
        <v>1232</v>
      </c>
      <c r="C59" s="21" t="s">
        <v>1233</v>
      </c>
      <c r="D59" s="21" t="str">
        <f t="shared" si="1"/>
        <v>State of Israel - Prime Minister (1999–2001); Minister of Defense</v>
      </c>
    </row>
    <row r="60" ht="15.75" customHeight="1">
      <c r="A60" s="21" t="s">
        <v>120</v>
      </c>
      <c r="B60" s="21" t="s">
        <v>1234</v>
      </c>
      <c r="C60" s="21" t="s">
        <v>1235</v>
      </c>
      <c r="D60" s="21" t="str">
        <f t="shared" si="1"/>
        <v>InterCure / Canndoc Pharma - Chairman of the Board</v>
      </c>
    </row>
    <row r="61" ht="15.75" customHeight="1">
      <c r="A61" s="21" t="s">
        <v>120</v>
      </c>
      <c r="B61" s="21" t="s">
        <v>1236</v>
      </c>
      <c r="C61" s="21" t="s">
        <v>1188</v>
      </c>
      <c r="D61" s="21" t="str">
        <f t="shared" si="1"/>
        <v>Ehud Barak Limited - Founder</v>
      </c>
    </row>
    <row r="62" ht="15.75" customHeight="1">
      <c r="A62" s="21" t="s">
        <v>120</v>
      </c>
      <c r="B62" s="21" t="s">
        <v>1237</v>
      </c>
      <c r="C62" s="21" t="s">
        <v>1238</v>
      </c>
      <c r="D62" s="21" t="str">
        <f t="shared" si="1"/>
        <v>SCP Private Equity Partners - Former Partner</v>
      </c>
    </row>
    <row r="63" ht="15.75" customHeight="1">
      <c r="A63" s="21" t="s">
        <v>120</v>
      </c>
      <c r="B63" s="21" t="s">
        <v>1239</v>
      </c>
      <c r="C63" s="21" t="s">
        <v>1240</v>
      </c>
      <c r="D63" s="21" t="str">
        <f t="shared" si="1"/>
        <v>Israel Labor Party - Former leader</v>
      </c>
    </row>
    <row r="64" ht="15.75" customHeight="1">
      <c r="A64" s="21" t="s">
        <v>128</v>
      </c>
      <c r="B64" s="21" t="s">
        <v>1241</v>
      </c>
      <c r="C64" s="21" t="s">
        <v>1242</v>
      </c>
      <c r="D64" s="21" t="str">
        <f t="shared" si="1"/>
        <v>Colony Capital - (now DigitalBridge) — Founder and former Executive Chairman/CEO</v>
      </c>
    </row>
    <row r="65" ht="15.75" customHeight="1">
      <c r="A65" s="21" t="s">
        <v>128</v>
      </c>
      <c r="B65" s="21" t="s">
        <v>1243</v>
      </c>
      <c r="C65" s="21" t="s">
        <v>1244</v>
      </c>
      <c r="D65" s="21" t="str">
        <f t="shared" si="1"/>
        <v>Colony Starwood Homes - Founder (rental real estate)</v>
      </c>
    </row>
    <row r="66" ht="15.75" customHeight="1">
      <c r="A66" s="21" t="s">
        <v>128</v>
      </c>
      <c r="B66" s="21" t="s">
        <v>1245</v>
      </c>
      <c r="C66" s="21" t="s">
        <v>1246</v>
      </c>
      <c r="D66" s="21" t="str">
        <f t="shared" si="1"/>
        <v>Trump Inaugural Committee - (2017) — Chairman</v>
      </c>
    </row>
    <row r="67" ht="15.75" customHeight="1">
      <c r="A67" s="21" t="s">
        <v>128</v>
      </c>
      <c r="B67" s="21" t="s">
        <v>1247</v>
      </c>
      <c r="C67" s="21" t="s">
        <v>1248</v>
      </c>
      <c r="D67" s="21" t="str">
        <f t="shared" si="1"/>
        <v>U.S. Ambassador to Turkey - Current</v>
      </c>
    </row>
    <row r="68" ht="15.75" customHeight="1">
      <c r="A68" s="21" t="s">
        <v>128</v>
      </c>
      <c r="B68" s="21" t="s">
        <v>1249</v>
      </c>
      <c r="C68" s="21" t="s">
        <v>1248</v>
      </c>
      <c r="D68" s="21" t="str">
        <f t="shared" si="1"/>
        <v>U.S. Special Envoy for Syria and Iraq - Current</v>
      </c>
    </row>
    <row r="69" ht="15.75" customHeight="1">
      <c r="A69" s="21" t="s">
        <v>136</v>
      </c>
      <c r="B69" s="21" t="s">
        <v>1250</v>
      </c>
      <c r="C69" s="21" t="s">
        <v>1251</v>
      </c>
      <c r="D69" s="21" t="str">
        <f t="shared" si="1"/>
        <v>Ministry of Economic Development, Russia - Former Deputy Minister (2012–2014)</v>
      </c>
    </row>
    <row r="70" ht="15.75" customHeight="1">
      <c r="A70" s="21" t="s">
        <v>136</v>
      </c>
      <c r="B70" s="21" t="s">
        <v>1252</v>
      </c>
      <c r="C70" s="21" t="s">
        <v>1184</v>
      </c>
      <c r="D70" s="21" t="str">
        <f t="shared" si="1"/>
        <v>St. Petersburg International Economic Forum - Former Chairman of the Board</v>
      </c>
    </row>
    <row r="71" ht="15.75" customHeight="1">
      <c r="A71" s="21" t="s">
        <v>136</v>
      </c>
      <c r="B71" s="21" t="s">
        <v>1253</v>
      </c>
      <c r="C71" s="21" t="s">
        <v>1254</v>
      </c>
      <c r="D71" s="21" t="str">
        <f t="shared" si="1"/>
        <v>Ozon - Former Managing Director (2021–2024)</v>
      </c>
    </row>
    <row r="72" ht="15.75" customHeight="1">
      <c r="A72" s="21" t="s">
        <v>136</v>
      </c>
      <c r="B72" s="21" t="s">
        <v>1255</v>
      </c>
      <c r="C72" s="21" t="s">
        <v>1256</v>
      </c>
      <c r="D72" s="21" t="str">
        <f t="shared" si="1"/>
        <v>Alliance of Pension Funds / Association of Retail Companies - Former head</v>
      </c>
    </row>
    <row r="73" ht="15.75" customHeight="1">
      <c r="A73" s="21" t="s">
        <v>136</v>
      </c>
      <c r="B73" s="21" t="s">
        <v>1257</v>
      </c>
      <c r="C73" s="21" t="s">
        <v>1258</v>
      </c>
      <c r="D73" s="21" t="str">
        <f t="shared" si="1"/>
        <v>Cyberus Foundation - (cybersecurity development) — Partner</v>
      </c>
    </row>
    <row r="74" ht="15.75" customHeight="1">
      <c r="A74" s="21" t="s">
        <v>136</v>
      </c>
      <c r="B74" s="21" t="s">
        <v>1259</v>
      </c>
      <c r="C74" s="21" t="s">
        <v>1260</v>
      </c>
      <c r="D74" s="21" t="str">
        <f t="shared" si="1"/>
        <v>Basic Element - Former employee</v>
      </c>
    </row>
    <row r="75" ht="15.75" customHeight="1">
      <c r="A75" s="21" t="s">
        <v>136</v>
      </c>
      <c r="B75" s="21" t="s">
        <v>1261</v>
      </c>
      <c r="C75" s="21" t="s">
        <v>1260</v>
      </c>
      <c r="D75" s="21" t="str">
        <f t="shared" si="1"/>
        <v>Russian Union of Industrialists and Entrepreneurs - Former employee</v>
      </c>
    </row>
    <row r="76" ht="15.75" customHeight="1">
      <c r="A76" s="21" t="s">
        <v>144</v>
      </c>
      <c r="B76" s="21" t="s">
        <v>1262</v>
      </c>
      <c r="C76" s="21" t="s">
        <v>1263</v>
      </c>
      <c r="D76" s="21" t="str">
        <f t="shared" si="1"/>
        <v>Apollo Global Management - Co-founder; largest shareholder (~14%)</v>
      </c>
    </row>
    <row r="77" ht="15.75" customHeight="1">
      <c r="A77" s="21" t="s">
        <v>144</v>
      </c>
      <c r="B77" s="21" t="s">
        <v>1264</v>
      </c>
      <c r="C77" s="21" t="s">
        <v>1265</v>
      </c>
      <c r="D77" s="21" t="str">
        <f t="shared" si="1"/>
        <v>Elysium Management - Family office</v>
      </c>
    </row>
    <row r="78" ht="15.75" customHeight="1">
      <c r="A78" s="21" t="s">
        <v>144</v>
      </c>
      <c r="B78" s="21" t="s">
        <v>1266</v>
      </c>
      <c r="D78" s="21" t="str">
        <f t="shared" si="1"/>
        <v>Former CEO and Chairman, Apollo Global Management (retired March 2021)</v>
      </c>
    </row>
    <row r="79" ht="15.75" customHeight="1">
      <c r="A79" s="21" t="s">
        <v>152</v>
      </c>
      <c r="B79" s="21" t="s">
        <v>1267</v>
      </c>
      <c r="C79" s="21" t="s">
        <v>1268</v>
      </c>
      <c r="D79" s="21" t="str">
        <f t="shared" si="1"/>
        <v>Eldridge Industries - Co-founder, Chairman, CEO</v>
      </c>
    </row>
    <row r="80" ht="15.75" customHeight="1">
      <c r="A80" s="21" t="s">
        <v>152</v>
      </c>
      <c r="B80" s="21" t="s">
        <v>1269</v>
      </c>
      <c r="C80" s="21" t="s">
        <v>1270</v>
      </c>
      <c r="D80" s="21" t="str">
        <f t="shared" si="1"/>
        <v>Eldridge - (asset manager) — Chairman</v>
      </c>
    </row>
    <row r="81" ht="15.75" customHeight="1">
      <c r="A81" s="21" t="s">
        <v>152</v>
      </c>
      <c r="B81" s="21" t="s">
        <v>1271</v>
      </c>
      <c r="C81" s="21" t="s">
        <v>1272</v>
      </c>
      <c r="D81" s="21" t="str">
        <f t="shared" si="1"/>
        <v>Chelsea FC - Co-controlling owner and Chairman</v>
      </c>
    </row>
    <row r="82" ht="15.75" customHeight="1">
      <c r="A82" s="21" t="s">
        <v>152</v>
      </c>
      <c r="B82" s="21" t="s">
        <v>1273</v>
      </c>
      <c r="C82" s="21" t="s">
        <v>1274</v>
      </c>
      <c r="D82" s="21" t="str">
        <f t="shared" si="1"/>
        <v>RC Strasbourg - (via BlueCo) — Co-owner</v>
      </c>
    </row>
    <row r="83" ht="15.75" customHeight="1">
      <c r="A83" s="21" t="s">
        <v>152</v>
      </c>
      <c r="B83" s="21" t="s">
        <v>1275</v>
      </c>
      <c r="C83" s="21" t="s">
        <v>1276</v>
      </c>
      <c r="D83" s="21" t="str">
        <f t="shared" si="1"/>
        <v>Los Angeles Dodgers - Part owner</v>
      </c>
    </row>
    <row r="84" ht="15.75" customHeight="1">
      <c r="A84" s="21" t="s">
        <v>152</v>
      </c>
      <c r="B84" s="21" t="s">
        <v>1277</v>
      </c>
      <c r="C84" s="21" t="s">
        <v>1143</v>
      </c>
      <c r="D84" s="21" t="str">
        <f t="shared" si="1"/>
        <v>Security Benefit - Chairman</v>
      </c>
    </row>
    <row r="85" ht="15.75" customHeight="1">
      <c r="A85" s="21" t="s">
        <v>152</v>
      </c>
      <c r="B85" s="21" t="s">
        <v>1278</v>
      </c>
      <c r="C85" s="21" t="s">
        <v>1172</v>
      </c>
      <c r="D85" s="21" t="str">
        <f t="shared" si="1"/>
        <v>Cain International - Co-founder</v>
      </c>
    </row>
    <row r="86" ht="15.75" customHeight="1">
      <c r="A86" s="21" t="s">
        <v>152</v>
      </c>
      <c r="B86" s="21" t="s">
        <v>1279</v>
      </c>
      <c r="C86" s="21" t="s">
        <v>1280</v>
      </c>
      <c r="D86" s="21" t="str">
        <f t="shared" si="1"/>
        <v>Metropolis Technologies - Investor</v>
      </c>
    </row>
    <row r="87" ht="15.75" customHeight="1">
      <c r="A87" s="21" t="s">
        <v>152</v>
      </c>
      <c r="B87" s="21" t="s">
        <v>1281</v>
      </c>
      <c r="D87" s="21" t="str">
        <f t="shared" si="1"/>
        <v>Investments via Eldridge: A24, Fulwell Entertainment, Penske Media (Hollywood Reporter, Variety, Billboard, Rolling Stone), Dick Clark Productions</v>
      </c>
    </row>
    <row r="88" ht="15.75" customHeight="1">
      <c r="A88" s="21" t="s">
        <v>166</v>
      </c>
      <c r="B88" s="21" t="s">
        <v>1282</v>
      </c>
      <c r="C88" s="21" t="s">
        <v>1283</v>
      </c>
      <c r="D88" s="21" t="str">
        <f t="shared" si="1"/>
        <v>Bard College - President (since 1975)</v>
      </c>
    </row>
    <row r="89" ht="15.75" customHeight="1">
      <c r="A89" s="21" t="s">
        <v>166</v>
      </c>
      <c r="B89" s="21" t="s">
        <v>1284</v>
      </c>
      <c r="C89" s="21" t="s">
        <v>1285</v>
      </c>
      <c r="D89" s="21" t="str">
        <f t="shared" si="1"/>
        <v>American Symphony Orchestra - Music Director and Principal Conductor (since 1992)</v>
      </c>
    </row>
    <row r="90" ht="15.75" customHeight="1">
      <c r="A90" s="21" t="s">
        <v>166</v>
      </c>
      <c r="B90" s="21" t="s">
        <v>1286</v>
      </c>
      <c r="C90" s="21" t="s">
        <v>1287</v>
      </c>
      <c r="D90" s="21" t="str">
        <f t="shared" si="1"/>
        <v>The Orchestra Now (TŌN) - Founder and Music Director</v>
      </c>
    </row>
    <row r="91" ht="15.75" customHeight="1">
      <c r="A91" s="21" t="s">
        <v>166</v>
      </c>
      <c r="B91" s="21" t="s">
        <v>1288</v>
      </c>
      <c r="C91" s="21" t="s">
        <v>1289</v>
      </c>
      <c r="D91" s="21" t="str">
        <f t="shared" si="1"/>
        <v>Bard SummerScape / Bard Music Festival - Artistic Co-director/Founder</v>
      </c>
    </row>
    <row r="92" ht="15.75" customHeight="1">
      <c r="A92" s="21" t="s">
        <v>166</v>
      </c>
      <c r="B92" s="21" t="s">
        <v>1290</v>
      </c>
      <c r="C92" s="21" t="s">
        <v>1291</v>
      </c>
      <c r="D92" s="21" t="str">
        <f t="shared" si="1"/>
        <v>Jerusalem Symphony Orchestra - Former Music Director (2003–2011); Conductor Laureate</v>
      </c>
    </row>
    <row r="93" ht="15.75" customHeight="1">
      <c r="A93" s="21" t="s">
        <v>166</v>
      </c>
      <c r="B93" s="21" t="s">
        <v>1292</v>
      </c>
      <c r="C93" s="21" t="s">
        <v>1293</v>
      </c>
      <c r="D93" s="21" t="str">
        <f t="shared" si="1"/>
        <v>The Musical Quarterly - Editor</v>
      </c>
    </row>
    <row r="94" ht="15.75" customHeight="1">
      <c r="A94" s="21" t="s">
        <v>166</v>
      </c>
      <c r="B94" s="21" t="s">
        <v>1294</v>
      </c>
      <c r="C94" s="21" t="s">
        <v>1295</v>
      </c>
      <c r="D94" s="21" t="str">
        <f t="shared" si="1"/>
        <v>Campus Grafenegg / Grafenegg Academy - (Austria) — Artistic Director</v>
      </c>
    </row>
    <row r="95" ht="15.75" customHeight="1">
      <c r="A95" s="21" t="s">
        <v>159</v>
      </c>
      <c r="B95" s="21" t="s">
        <v>1296</v>
      </c>
      <c r="C95" s="21" t="s">
        <v>1297</v>
      </c>
      <c r="D95" s="21" t="str">
        <f t="shared" si="1"/>
        <v>City of Madrid - Mayor (2011–2015)</v>
      </c>
    </row>
    <row r="96" ht="15.75" customHeight="1">
      <c r="A96" s="21" t="s">
        <v>159</v>
      </c>
      <c r="B96" s="21" t="s">
        <v>1298</v>
      </c>
      <c r="C96" s="21" t="s">
        <v>1299</v>
      </c>
      <c r="D96" s="21" t="str">
        <f t="shared" si="1"/>
        <v>Municipal Transport Company of Madrid - President (as Mayor)</v>
      </c>
    </row>
    <row r="97" ht="15.75" customHeight="1">
      <c r="A97" s="21" t="s">
        <v>159</v>
      </c>
      <c r="B97" s="21" t="s">
        <v>1300</v>
      </c>
      <c r="C97" s="21" t="s">
        <v>1301</v>
      </c>
      <c r="D97" s="21" t="str">
        <f t="shared" si="1"/>
        <v>Union of Latin American Capital Cities - Co-chair</v>
      </c>
    </row>
    <row r="98" ht="15.75" customHeight="1">
      <c r="A98" s="21" t="s">
        <v>159</v>
      </c>
      <c r="B98" s="21" t="s">
        <v>1302</v>
      </c>
      <c r="C98" s="21" t="s">
        <v>1303</v>
      </c>
      <c r="D98" s="21" t="str">
        <f t="shared" si="1"/>
        <v>POLIS Network - Chair</v>
      </c>
    </row>
    <row r="99" ht="15.75" customHeight="1">
      <c r="A99" s="21" t="s">
        <v>159</v>
      </c>
      <c r="B99" s="21" t="s">
        <v>1304</v>
      </c>
      <c r="D99" s="21" t="str">
        <f t="shared" si="1"/>
        <v>Boards of Trustees: Museo del Prado, Royal Theater Foundation, National Heritage</v>
      </c>
    </row>
    <row r="100" ht="15.75" customHeight="1">
      <c r="A100" s="21" t="s">
        <v>159</v>
      </c>
      <c r="B100" s="21" t="s">
        <v>1196</v>
      </c>
      <c r="C100" s="21" t="s">
        <v>1305</v>
      </c>
      <c r="D100" s="21" t="str">
        <f t="shared" si="1"/>
        <v>Partido Popular - Member, National Executive Committee</v>
      </c>
    </row>
    <row r="101" ht="15.75" customHeight="1">
      <c r="A101" s="21" t="s">
        <v>173</v>
      </c>
      <c r="B101" s="21" t="s">
        <v>1306</v>
      </c>
      <c r="C101" s="21" t="s">
        <v>1307</v>
      </c>
      <c r="D101" s="21" t="str">
        <f t="shared" si="1"/>
        <v>MIT - Y. Eva Tan Professor in Neurotechnology</v>
      </c>
    </row>
    <row r="102" ht="15.75" customHeight="1">
      <c r="A102" s="21" t="s">
        <v>173</v>
      </c>
      <c r="B102" s="21" t="s">
        <v>1308</v>
      </c>
      <c r="C102" s="21" t="s">
        <v>1309</v>
      </c>
      <c r="D102" s="21" t="str">
        <f t="shared" si="1"/>
        <v>MIT Center for Neurobiological Engineering - Co-Director</v>
      </c>
    </row>
    <row r="103" ht="15.75" customHeight="1">
      <c r="A103" s="21" t="s">
        <v>173</v>
      </c>
      <c r="B103" s="21" t="s">
        <v>1310</v>
      </c>
      <c r="C103" s="21" t="s">
        <v>1309</v>
      </c>
      <c r="D103" s="21" t="str">
        <f t="shared" si="1"/>
        <v>K. Lisa Yang Center for Bionics - Co-Director</v>
      </c>
    </row>
    <row r="104" ht="15.75" customHeight="1">
      <c r="A104" s="21" t="s">
        <v>173</v>
      </c>
      <c r="B104" s="21" t="s">
        <v>1311</v>
      </c>
      <c r="C104" s="21" t="s">
        <v>1312</v>
      </c>
      <c r="D104" s="21" t="str">
        <f t="shared" si="1"/>
        <v>Howard Hughes Medical Institute - Investigator</v>
      </c>
    </row>
    <row r="105" ht="15.75" customHeight="1">
      <c r="A105" s="21" t="s">
        <v>173</v>
      </c>
      <c r="B105" s="21" t="s">
        <v>1313</v>
      </c>
      <c r="C105" s="21" t="s">
        <v>1172</v>
      </c>
      <c r="D105" s="21" t="str">
        <f t="shared" si="1"/>
        <v>Elemind Technologies, Inc. - Co-founder</v>
      </c>
    </row>
    <row r="106" ht="15.75" customHeight="1">
      <c r="A106" s="21" t="s">
        <v>173</v>
      </c>
      <c r="B106" s="21" t="s">
        <v>1314</v>
      </c>
      <c r="C106" s="21" t="s">
        <v>1172</v>
      </c>
      <c r="D106" s="21" t="str">
        <f t="shared" si="1"/>
        <v>SynLife, Inc. - Co-founder</v>
      </c>
    </row>
    <row r="107" ht="15.75" customHeight="1">
      <c r="A107" s="21" t="s">
        <v>173</v>
      </c>
      <c r="B107" s="21" t="s">
        <v>1315</v>
      </c>
      <c r="C107" s="21" t="s">
        <v>1172</v>
      </c>
      <c r="D107" s="21" t="str">
        <f t="shared" si="1"/>
        <v>Inner Cosmos - Co-founder</v>
      </c>
    </row>
    <row r="108" ht="15.75" customHeight="1">
      <c r="A108" s="21" t="s">
        <v>173</v>
      </c>
      <c r="B108" s="21" t="s">
        <v>1316</v>
      </c>
      <c r="C108" s="21" t="s">
        <v>1172</v>
      </c>
      <c r="D108" s="21" t="str">
        <f t="shared" si="1"/>
        <v>Cognito Therapeutics, Inc. - Co-founder</v>
      </c>
    </row>
    <row r="109" ht="15.75" customHeight="1">
      <c r="A109" s="21" t="s">
        <v>173</v>
      </c>
      <c r="B109" s="21" t="s">
        <v>1317</v>
      </c>
      <c r="C109" s="21" t="s">
        <v>1172</v>
      </c>
      <c r="D109" s="21" t="str">
        <f t="shared" si="1"/>
        <v>Expansion Technologies - Co-founder</v>
      </c>
    </row>
    <row r="110" ht="15.75" customHeight="1">
      <c r="A110" s="21" t="s">
        <v>180</v>
      </c>
      <c r="B110" s="21" t="s">
        <v>1318</v>
      </c>
      <c r="C110" s="21" t="s">
        <v>1319</v>
      </c>
      <c r="D110" s="21" t="str">
        <f t="shared" si="1"/>
        <v>Virgin Group - Founder (400+ companies)</v>
      </c>
    </row>
    <row r="111" ht="15.75" customHeight="1">
      <c r="A111" s="21" t="s">
        <v>180</v>
      </c>
      <c r="B111" s="21" t="s">
        <v>1320</v>
      </c>
      <c r="C111" s="21" t="s">
        <v>1188</v>
      </c>
      <c r="D111" s="21" t="str">
        <f t="shared" si="1"/>
        <v>Virgin Atlantic, Virgin Australia, Virgin America - Founder</v>
      </c>
    </row>
    <row r="112" ht="15.75" customHeight="1">
      <c r="A112" s="21" t="s">
        <v>180</v>
      </c>
      <c r="B112" s="21" t="s">
        <v>1321</v>
      </c>
      <c r="C112" s="21" t="s">
        <v>1322</v>
      </c>
      <c r="D112" s="21" t="str">
        <f t="shared" si="1"/>
        <v>Virgin Records - (sold to EMI) / V2 Records</v>
      </c>
    </row>
    <row r="113" ht="15.75" customHeight="1">
      <c r="A113" s="21" t="s">
        <v>180</v>
      </c>
      <c r="B113" s="21" t="s">
        <v>1323</v>
      </c>
      <c r="D113" s="21" t="str">
        <f t="shared" si="1"/>
        <v>Virgin Rail Group / Virgin Trains</v>
      </c>
    </row>
    <row r="114" ht="15.75" customHeight="1">
      <c r="A114" s="21" t="s">
        <v>180</v>
      </c>
      <c r="B114" s="21" t="s">
        <v>1324</v>
      </c>
      <c r="D114" s="21" t="str">
        <f t="shared" si="1"/>
        <v>Virgin Galactic</v>
      </c>
    </row>
    <row r="115" ht="15.75" customHeight="1">
      <c r="A115" s="21" t="s">
        <v>180</v>
      </c>
      <c r="B115" s="21" t="s">
        <v>1325</v>
      </c>
      <c r="C115" s="21" t="s">
        <v>1326</v>
      </c>
      <c r="D115" s="21" t="str">
        <f t="shared" si="1"/>
        <v>Virgin Mobile - (sold to NTL/Virgin Media)</v>
      </c>
    </row>
    <row r="116" ht="15.75" customHeight="1">
      <c r="A116" s="21" t="s">
        <v>180</v>
      </c>
      <c r="B116" s="21" t="s">
        <v>1327</v>
      </c>
      <c r="C116" s="21" t="s">
        <v>1328</v>
      </c>
      <c r="D116" s="21" t="str">
        <f t="shared" si="1"/>
        <v>Virgin Hotels - , Virgin Holidays, Virgin Limited Edition</v>
      </c>
    </row>
    <row r="117" ht="15.75" customHeight="1">
      <c r="A117" s="21" t="s">
        <v>180</v>
      </c>
      <c r="B117" s="21" t="s">
        <v>1329</v>
      </c>
      <c r="D117" s="21" t="str">
        <f t="shared" si="1"/>
        <v>Virgin Fuels</v>
      </c>
    </row>
    <row r="118" ht="15.75" customHeight="1">
      <c r="A118" s="21" t="s">
        <v>180</v>
      </c>
      <c r="B118" s="21" t="s">
        <v>1330</v>
      </c>
      <c r="C118" s="21" t="s">
        <v>1331</v>
      </c>
      <c r="D118" s="21" t="str">
        <f t="shared" si="1"/>
        <v>Virgin Comics / Virgin Animation - (with Deepak Chopra)</v>
      </c>
    </row>
    <row r="119" ht="15.75" customHeight="1">
      <c r="A119" s="21" t="s">
        <v>180</v>
      </c>
      <c r="B119" s="21" t="s">
        <v>1332</v>
      </c>
      <c r="C119" s="21" t="s">
        <v>1333</v>
      </c>
      <c r="D119" s="21" t="str">
        <f t="shared" si="1"/>
        <v>Virgin Unite - Entrepreneurial foundation of Virgin Group</v>
      </c>
    </row>
    <row r="120" ht="15.75" customHeight="1">
      <c r="A120" s="21" t="s">
        <v>180</v>
      </c>
      <c r="B120" s="21" t="s">
        <v>1334</v>
      </c>
      <c r="D120" s="21" t="str">
        <f t="shared" si="1"/>
        <v>Incubated organizations: The Elders, Carbon War Room, B Team, Branson Centre of Entrepreneurship</v>
      </c>
    </row>
    <row r="121" ht="15.75" customHeight="1">
      <c r="A121" s="21" t="s">
        <v>188</v>
      </c>
      <c r="B121" s="21" t="s">
        <v>1335</v>
      </c>
      <c r="C121" s="21" t="s">
        <v>1336</v>
      </c>
      <c r="D121" s="21" t="str">
        <f t="shared" si="1"/>
        <v>World Economic Forum - President and CEO</v>
      </c>
    </row>
    <row r="122" ht="15.75" customHeight="1">
      <c r="A122" s="21" t="s">
        <v>188</v>
      </c>
      <c r="B122" s="21" t="s">
        <v>1337</v>
      </c>
      <c r="D122" s="21" t="str">
        <f t="shared" si="1"/>
        <v>Former Minister of Foreign Affairs, Norway</v>
      </c>
    </row>
    <row r="123" ht="15.75" customHeight="1">
      <c r="A123" s="21" t="s">
        <v>188</v>
      </c>
      <c r="B123" s="21" t="s">
        <v>1338</v>
      </c>
      <c r="D123" s="21" t="str">
        <f t="shared" si="1"/>
        <v>Former Minister of Trade and Industry, Norway</v>
      </c>
    </row>
    <row r="124" ht="15.75" customHeight="1">
      <c r="A124" s="21" t="s">
        <v>188</v>
      </c>
      <c r="B124" s="21" t="s">
        <v>1339</v>
      </c>
      <c r="D124" s="21" t="str">
        <f t="shared" si="1"/>
        <v>Former Minister of Climate and the Environment, Norway</v>
      </c>
    </row>
    <row r="125" ht="15.75" customHeight="1">
      <c r="A125" s="21" t="s">
        <v>188</v>
      </c>
      <c r="B125" s="21" t="s">
        <v>1340</v>
      </c>
      <c r="C125" s="21" t="s">
        <v>1341</v>
      </c>
      <c r="D125" s="21" t="str">
        <f t="shared" si="1"/>
        <v>Mesta - (Norway's largest road contracting group) — Former Chairman</v>
      </c>
    </row>
    <row r="126" ht="15.75" customHeight="1">
      <c r="A126" s="21" t="s">
        <v>188</v>
      </c>
      <c r="B126" s="21" t="s">
        <v>1342</v>
      </c>
      <c r="C126" s="21" t="s">
        <v>1203</v>
      </c>
      <c r="D126" s="21" t="str">
        <f t="shared" si="1"/>
        <v>Philanthropy Asia Alliance - Director</v>
      </c>
    </row>
    <row r="127" ht="15.75" customHeight="1">
      <c r="A127" s="21" t="s">
        <v>188</v>
      </c>
      <c r="B127" s="21" t="s">
        <v>1343</v>
      </c>
      <c r="C127" s="21" t="s">
        <v>1344</v>
      </c>
      <c r="D127" s="21" t="str">
        <f t="shared" si="1"/>
        <v>Bilderberg Meetings - Board/Steering Committee</v>
      </c>
    </row>
    <row r="128" ht="15.75" customHeight="1">
      <c r="A128" s="21" t="s">
        <v>188</v>
      </c>
      <c r="B128" s="21" t="s">
        <v>1345</v>
      </c>
      <c r="C128" s="21" t="s">
        <v>1346</v>
      </c>
      <c r="D128" s="21" t="str">
        <f t="shared" si="1"/>
        <v>Statoil - Former Board Member</v>
      </c>
    </row>
    <row r="129" ht="15.75" customHeight="1">
      <c r="A129" s="21" t="s">
        <v>188</v>
      </c>
      <c r="B129" s="21" t="s">
        <v>1347</v>
      </c>
      <c r="C129" s="21" t="s">
        <v>1346</v>
      </c>
      <c r="D129" s="21" t="str">
        <f t="shared" si="1"/>
        <v>Norwegian School of Economics - Former Board Member</v>
      </c>
    </row>
    <row r="130" ht="15.75" customHeight="1">
      <c r="A130" s="21" t="s">
        <v>188</v>
      </c>
      <c r="B130" s="21" t="s">
        <v>1348</v>
      </c>
      <c r="C130" s="21" t="s">
        <v>1349</v>
      </c>
      <c r="D130" s="21" t="str">
        <f t="shared" si="1"/>
        <v>Harvard International Negotiation Program - Advisory Council</v>
      </c>
    </row>
    <row r="131" ht="15.75" customHeight="1">
      <c r="A131" s="21" t="s">
        <v>188</v>
      </c>
      <c r="B131" s="21" t="s">
        <v>1350</v>
      </c>
      <c r="C131" s="21" t="s">
        <v>1351</v>
      </c>
      <c r="D131" s="21" t="str">
        <f t="shared" si="1"/>
        <v>Norwegian Red Cross - Former Secretary-General</v>
      </c>
    </row>
    <row r="132" ht="15.75" customHeight="1">
      <c r="A132" s="21" t="s">
        <v>196</v>
      </c>
      <c r="B132" s="21" t="s">
        <v>1352</v>
      </c>
      <c r="C132" s="21" t="s">
        <v>1353</v>
      </c>
      <c r="D132" s="21" t="str">
        <f t="shared" si="1"/>
        <v>Majestas Group - Founder (hospitality holding company)</v>
      </c>
    </row>
    <row r="133" ht="15.75" customHeight="1">
      <c r="A133" s="21" t="s">
        <v>196</v>
      </c>
      <c r="B133" s="21" t="s">
        <v>1354</v>
      </c>
      <c r="C133" s="21" t="s">
        <v>1355</v>
      </c>
      <c r="D133" s="21" t="str">
        <f t="shared" si="1"/>
        <v>Billionaire - nightclub/restaurant brand — Creator (1998)</v>
      </c>
    </row>
    <row r="134" ht="15.75" customHeight="1">
      <c r="A134" s="21" t="s">
        <v>196</v>
      </c>
      <c r="B134" s="21" t="s">
        <v>1356</v>
      </c>
      <c r="C134" s="21" t="s">
        <v>1357</v>
      </c>
      <c r="D134" s="21" t="str">
        <f t="shared" si="1"/>
        <v>Twiga - nightclub chain — Founder (sold to LMDV Hospitality, 2025)</v>
      </c>
    </row>
    <row r="135" ht="15.75" customHeight="1">
      <c r="A135" s="21" t="s">
        <v>196</v>
      </c>
      <c r="B135" s="21" t="s">
        <v>1358</v>
      </c>
      <c r="C135" s="21" t="s">
        <v>1188</v>
      </c>
      <c r="D135" s="21" t="str">
        <f t="shared" si="1"/>
        <v>Billionaire Italian Couture - Founder</v>
      </c>
    </row>
    <row r="136" ht="15.75" customHeight="1">
      <c r="A136" s="21" t="s">
        <v>196</v>
      </c>
      <c r="B136" s="21" t="s">
        <v>1359</v>
      </c>
      <c r="C136" s="21" t="s">
        <v>1360</v>
      </c>
      <c r="D136" s="21" t="str">
        <f t="shared" si="1"/>
        <v>Alpine F1 Team - Executive Adviser / de facto Team Principal</v>
      </c>
    </row>
    <row r="137" ht="15.75" customHeight="1">
      <c r="A137" s="21" t="s">
        <v>196</v>
      </c>
      <c r="B137" s="21" t="s">
        <v>1361</v>
      </c>
      <c r="D137" s="21" t="str">
        <f t="shared" si="1"/>
        <v>Former Team Principal: Benetton F1, Renault F1</v>
      </c>
    </row>
    <row r="138" ht="15.75" customHeight="1">
      <c r="A138" s="21" t="s">
        <v>196</v>
      </c>
      <c r="B138" s="21" t="s">
        <v>1362</v>
      </c>
      <c r="C138" s="21" t="s">
        <v>1363</v>
      </c>
      <c r="D138" s="21" t="str">
        <f t="shared" si="1"/>
        <v>Pierrel - (pharmaceuticals) — Former 48.9% owner</v>
      </c>
    </row>
    <row r="139" ht="15.75" customHeight="1">
      <c r="A139" s="21" t="s">
        <v>196</v>
      </c>
      <c r="B139" s="21" t="s">
        <v>1364</v>
      </c>
      <c r="C139" s="21" t="s">
        <v>1365</v>
      </c>
      <c r="D139" s="21" t="str">
        <f t="shared" si="1"/>
        <v>Lion in the Sun - holiday resort, Kenya</v>
      </c>
    </row>
    <row r="140" ht="15.75" customHeight="1">
      <c r="A140" s="21" t="s">
        <v>203</v>
      </c>
      <c r="B140" s="21" t="s">
        <v>1366</v>
      </c>
      <c r="C140" s="21" t="s">
        <v>1172</v>
      </c>
      <c r="D140" s="21" t="str">
        <f t="shared" si="1"/>
        <v>Google - Co-founder</v>
      </c>
    </row>
    <row r="141" ht="15.75" customHeight="1">
      <c r="A141" s="21" t="s">
        <v>203</v>
      </c>
      <c r="B141" s="21" t="s">
        <v>1367</v>
      </c>
      <c r="C141" s="21" t="s">
        <v>1368</v>
      </c>
      <c r="D141" s="21" t="str">
        <f t="shared" si="1"/>
        <v>Alphabet Inc. - Co-founder, former President, Board member, and controlling shareholder</v>
      </c>
    </row>
    <row r="142" ht="15.75" customHeight="1">
      <c r="A142" s="21" t="s">
        <v>203</v>
      </c>
      <c r="B142" s="21" t="s">
        <v>1369</v>
      </c>
      <c r="D142" s="21" t="str">
        <f t="shared" si="1"/>
        <v>Significant philanthropic contributions (&gt;$1.5 billion) to Parkinson's disease research</v>
      </c>
    </row>
    <row r="143" ht="15.75" customHeight="1">
      <c r="A143" s="21" t="s">
        <v>210</v>
      </c>
      <c r="B143" s="21" t="s">
        <v>1370</v>
      </c>
      <c r="C143" s="21" t="s">
        <v>1188</v>
      </c>
      <c r="D143" s="21" t="str">
        <f t="shared" si="1"/>
        <v>Brockman Literary Agency (Brockman Inc.) - Founder</v>
      </c>
    </row>
    <row r="144" ht="15.75" customHeight="1">
      <c r="A144" s="21" t="s">
        <v>210</v>
      </c>
      <c r="B144" s="21" t="s">
        <v>1371</v>
      </c>
      <c r="C144" s="21" t="s">
        <v>1372</v>
      </c>
      <c r="D144" s="21" t="str">
        <f t="shared" si="1"/>
        <v>Edge Foundation - (edge.org) — Founder</v>
      </c>
    </row>
    <row r="145" ht="15.75" customHeight="1">
      <c r="A145" s="21" t="s">
        <v>218</v>
      </c>
      <c r="B145" s="21" t="s">
        <v>1373</v>
      </c>
      <c r="C145" s="21" t="s">
        <v>1374</v>
      </c>
      <c r="D145" s="21" t="str">
        <f t="shared" si="1"/>
        <v>The New York Times - Op-Ed columnist (2003–2025)</v>
      </c>
    </row>
    <row r="146" ht="15.75" customHeight="1">
      <c r="A146" s="21" t="s">
        <v>218</v>
      </c>
      <c r="B146" s="21" t="s">
        <v>1375</v>
      </c>
      <c r="C146" s="21" t="s">
        <v>1376</v>
      </c>
      <c r="D146" s="21" t="str">
        <f t="shared" si="1"/>
        <v>The Atlantic - Staff writer (since 2026)</v>
      </c>
    </row>
    <row r="147" ht="15.75" customHeight="1">
      <c r="A147" s="21" t="s">
        <v>218</v>
      </c>
      <c r="B147" s="21" t="s">
        <v>1377</v>
      </c>
      <c r="C147" s="21" t="s">
        <v>1378</v>
      </c>
      <c r="D147" s="21" t="str">
        <f t="shared" si="1"/>
        <v>Weave Project - (at Aspen Institute) — Founder</v>
      </c>
    </row>
    <row r="148" ht="15.75" customHeight="1">
      <c r="A148" s="21" t="s">
        <v>225</v>
      </c>
      <c r="B148" s="21" t="s">
        <v>1379</v>
      </c>
      <c r="C148" s="21" t="s">
        <v>1380</v>
      </c>
      <c r="D148" s="21" t="str">
        <f t="shared" si="1"/>
        <v>MC2 Model Management - Founder/Owner</v>
      </c>
    </row>
    <row r="149" ht="15.75" customHeight="1">
      <c r="A149" s="21" t="s">
        <v>225</v>
      </c>
      <c r="B149" s="21" t="s">
        <v>1381</v>
      </c>
      <c r="C149" s="21" t="s">
        <v>1256</v>
      </c>
      <c r="D149" s="21" t="str">
        <f t="shared" si="1"/>
        <v>Karin Models - Former head</v>
      </c>
    </row>
    <row r="150" ht="15.75" customHeight="1">
      <c r="A150" s="21" t="s">
        <v>225</v>
      </c>
      <c r="B150" s="21" t="s">
        <v>1382</v>
      </c>
      <c r="C150" s="21" t="s">
        <v>1172</v>
      </c>
      <c r="D150" s="21" t="str">
        <f t="shared" si="1"/>
        <v>Next Management Corporation - Co-founder</v>
      </c>
    </row>
    <row r="151" ht="15.75" customHeight="1">
      <c r="A151" s="21" t="s">
        <v>233</v>
      </c>
      <c r="B151" s="21" t="s">
        <v>1383</v>
      </c>
      <c r="C151" s="21" t="s">
        <v>1384</v>
      </c>
      <c r="D151" s="21" t="str">
        <f t="shared" si="1"/>
        <v>Central Intelligence Agency (CIA) - Director (2021–2025)</v>
      </c>
    </row>
    <row r="152" ht="15.75" customHeight="1">
      <c r="A152" s="21" t="s">
        <v>233</v>
      </c>
      <c r="B152" s="21" t="s">
        <v>1385</v>
      </c>
      <c r="C152" s="21" t="s">
        <v>1386</v>
      </c>
      <c r="D152" s="21" t="str">
        <f t="shared" si="1"/>
        <v>Carnegie Endowment for International Peace - Former President</v>
      </c>
    </row>
    <row r="153" ht="15.75" customHeight="1">
      <c r="A153" s="21" t="s">
        <v>233</v>
      </c>
      <c r="B153" s="21" t="s">
        <v>1387</v>
      </c>
      <c r="C153" s="21" t="s">
        <v>1388</v>
      </c>
      <c r="D153" s="21" t="str">
        <f t="shared" si="1"/>
        <v>U.S. Department of State - Former Deputy Secretary of State; Former Under Secretary for Political Affairs</v>
      </c>
    </row>
    <row r="154" ht="15.75" customHeight="1">
      <c r="A154" s="21" t="s">
        <v>233</v>
      </c>
      <c r="B154" s="21" t="s">
        <v>1389</v>
      </c>
      <c r="C154" s="21" t="s">
        <v>1390</v>
      </c>
      <c r="D154" s="21" t="str">
        <f t="shared" si="1"/>
        <v>U.S. Ambassador to Russia, U.S. Ambassador to Jordan - Former</v>
      </c>
    </row>
    <row r="155" ht="15.75" customHeight="1">
      <c r="A155" s="21" t="s">
        <v>241</v>
      </c>
      <c r="B155" s="21" t="s">
        <v>1391</v>
      </c>
      <c r="C155" s="21" t="s">
        <v>1392</v>
      </c>
      <c r="D155" s="21" t="str">
        <f t="shared" si="1"/>
        <v>Fashion for Relief - Founder (closed 2024)</v>
      </c>
    </row>
    <row r="156" ht="15.75" customHeight="1">
      <c r="A156" s="21" t="s">
        <v>241</v>
      </c>
      <c r="B156" s="21" t="s">
        <v>1393</v>
      </c>
      <c r="C156" s="21" t="s">
        <v>1394</v>
      </c>
      <c r="D156" s="21" t="str">
        <f t="shared" si="1"/>
        <v>We Love Brazil - Co-founder (2005)</v>
      </c>
    </row>
    <row r="157" ht="15.75" customHeight="1">
      <c r="A157" s="21" t="s">
        <v>248</v>
      </c>
      <c r="B157" s="21" t="s">
        <v>1395</v>
      </c>
      <c r="C157" s="21" t="s">
        <v>1396</v>
      </c>
      <c r="D157" s="21" t="str">
        <f t="shared" si="1"/>
        <v>Candy Capital - Founder and CEO (family office)</v>
      </c>
    </row>
    <row r="158" ht="15.75" customHeight="1">
      <c r="A158" s="21" t="s">
        <v>248</v>
      </c>
      <c r="B158" s="21" t="s">
        <v>1397</v>
      </c>
      <c r="C158" s="21" t="s">
        <v>1398</v>
      </c>
      <c r="D158" s="21" t="str">
        <f t="shared" si="1"/>
        <v>Candy Ventures - Investment portfolio (fintech, deep tech, biotech, digital media, sports)</v>
      </c>
    </row>
    <row r="159" ht="15.75" customHeight="1">
      <c r="A159" s="21" t="s">
        <v>248</v>
      </c>
      <c r="B159" s="21" t="s">
        <v>1399</v>
      </c>
      <c r="C159" s="21" t="s">
        <v>1400</v>
      </c>
      <c r="D159" s="21" t="str">
        <f t="shared" si="1"/>
        <v>One Hyde Park - Co-developer (with brother Christian Candy)</v>
      </c>
    </row>
    <row r="160" ht="15.75" customHeight="1">
      <c r="A160" s="21" t="s">
        <v>255</v>
      </c>
      <c r="B160" s="21" t="s">
        <v>1401</v>
      </c>
      <c r="C160" s="21" t="s">
        <v>1402</v>
      </c>
      <c r="D160" s="21" t="str">
        <f t="shared" si="1"/>
        <v>Republic of Cuba - President (1976–2008); Prime Minister (1959–1976)</v>
      </c>
    </row>
    <row r="161" ht="15.75" customHeight="1">
      <c r="A161" s="21" t="s">
        <v>255</v>
      </c>
      <c r="B161" s="21" t="s">
        <v>1403</v>
      </c>
      <c r="C161" s="21" t="s">
        <v>1404</v>
      </c>
      <c r="D161" s="21" t="str">
        <f t="shared" si="1"/>
        <v>Communist Party of Cuba - First Secretary (1965–2011)</v>
      </c>
    </row>
    <row r="162" ht="15.75" customHeight="1">
      <c r="A162" s="21" t="s">
        <v>255</v>
      </c>
      <c r="B162" s="21" t="s">
        <v>1405</v>
      </c>
      <c r="C162" s="21" t="s">
        <v>1188</v>
      </c>
      <c r="D162" s="21" t="str">
        <f t="shared" si="1"/>
        <v>July 26 Movement - Founder</v>
      </c>
    </row>
    <row r="163" ht="15.75" customHeight="1">
      <c r="A163" s="21" t="s">
        <v>255</v>
      </c>
      <c r="B163" s="21" t="s">
        <v>1406</v>
      </c>
      <c r="C163" s="21" t="s">
        <v>1188</v>
      </c>
      <c r="D163" s="21" t="str">
        <f t="shared" si="1"/>
        <v>Committees for the Defense of the Revolution - Founder</v>
      </c>
    </row>
    <row r="164" ht="15.75" customHeight="1">
      <c r="A164" s="21" t="s">
        <v>255</v>
      </c>
      <c r="B164" s="21" t="s">
        <v>1407</v>
      </c>
      <c r="C164" s="21" t="s">
        <v>1188</v>
      </c>
      <c r="D164" s="21" t="str">
        <f t="shared" si="1"/>
        <v>Latin American Solidarity Organization (OLAS) - Founder</v>
      </c>
    </row>
    <row r="165" ht="15.75" customHeight="1">
      <c r="A165" s="21" t="s">
        <v>255</v>
      </c>
      <c r="B165" s="21" t="s">
        <v>1408</v>
      </c>
      <c r="C165" s="21" t="s">
        <v>1409</v>
      </c>
      <c r="D165" s="21" t="str">
        <f t="shared" si="1"/>
        <v>Non-Aligned Movement - Secretary-General (2006–2008)</v>
      </c>
    </row>
    <row r="166" ht="15.75" customHeight="1">
      <c r="A166" s="21" t="s">
        <v>264</v>
      </c>
      <c r="B166" s="21" t="s">
        <v>1290</v>
      </c>
      <c r="C166" s="21" t="s">
        <v>1410</v>
      </c>
      <c r="D166" s="21" t="str">
        <f t="shared" si="1"/>
        <v>Jerusalem Symphony Orchestra - Former Music Director (1998–2001, 2011–2019)</v>
      </c>
    </row>
    <row r="167" ht="15.75" customHeight="1">
      <c r="A167" s="21" t="s">
        <v>264</v>
      </c>
      <c r="B167" s="21" t="s">
        <v>1411</v>
      </c>
      <c r="C167" s="21" t="s">
        <v>1412</v>
      </c>
      <c r="D167" s="21" t="str">
        <f t="shared" si="1"/>
        <v>Opera de Rouen - Former Music Director (1991–1994)</v>
      </c>
    </row>
    <row r="168" ht="15.75" customHeight="1">
      <c r="A168" s="21" t="s">
        <v>264</v>
      </c>
      <c r="B168" s="21" t="s">
        <v>1413</v>
      </c>
      <c r="C168" s="21" t="s">
        <v>1414</v>
      </c>
      <c r="D168" s="21" t="str">
        <f t="shared" si="1"/>
        <v>Nationaltheater Mannheim - Former Generalmusikdirektor (2004–2007)</v>
      </c>
    </row>
    <row r="169" ht="15.75" customHeight="1">
      <c r="A169" s="21" t="s">
        <v>264</v>
      </c>
      <c r="B169" s="21" t="s">
        <v>1415</v>
      </c>
      <c r="C169" s="21" t="s">
        <v>1416</v>
      </c>
      <c r="D169" s="21" t="str">
        <f t="shared" si="1"/>
        <v>Santa Fe Opera - Former Chief Conductor (2010–2012)</v>
      </c>
    </row>
    <row r="170" ht="15.75" customHeight="1">
      <c r="A170" s="21" t="s">
        <v>264</v>
      </c>
      <c r="B170" s="21" t="s">
        <v>1417</v>
      </c>
      <c r="C170" s="21" t="s">
        <v>1418</v>
      </c>
      <c r="D170" s="21" t="str">
        <f t="shared" si="1"/>
        <v>Published by Universal Edition (Vienna) - Composer catalog of 250+ works</v>
      </c>
    </row>
    <row r="171" ht="15.75" customHeight="1">
      <c r="A171" s="21" t="s">
        <v>271</v>
      </c>
      <c r="B171" s="21" t="s">
        <v>1419</v>
      </c>
      <c r="C171" s="21" t="s">
        <v>1420</v>
      </c>
      <c r="D171" s="21" t="str">
        <f t="shared" si="1"/>
        <v>MIT Department of Linguistics - Co-founder of the graduate program; Institute Professor Emeritus</v>
      </c>
    </row>
    <row r="172" ht="15.75" customHeight="1">
      <c r="A172" s="21" t="s">
        <v>271</v>
      </c>
      <c r="B172" s="21" t="s">
        <v>1421</v>
      </c>
      <c r="C172" s="21" t="s">
        <v>1422</v>
      </c>
      <c r="D172" s="21" t="str">
        <f t="shared" si="1"/>
        <v>University of Arizona - Laureate Professor of Linguistics</v>
      </c>
    </row>
    <row r="173" ht="15.75" customHeight="1">
      <c r="A173" s="21" t="s">
        <v>279</v>
      </c>
      <c r="B173" s="21" t="s">
        <v>1423</v>
      </c>
      <c r="C173" s="21" t="s">
        <v>1424</v>
      </c>
      <c r="D173" s="21" t="str">
        <f t="shared" si="1"/>
        <v>Chopra Foundation - Founder (2009)</v>
      </c>
    </row>
    <row r="174" ht="15.75" customHeight="1">
      <c r="A174" s="21" t="s">
        <v>279</v>
      </c>
      <c r="B174" s="21" t="s">
        <v>1425</v>
      </c>
      <c r="C174" s="21" t="s">
        <v>1426</v>
      </c>
      <c r="D174" s="21" t="str">
        <f t="shared" si="1"/>
        <v>Chopra Center for Wellbeing - Co-founder (1996)</v>
      </c>
    </row>
    <row r="175" ht="15.75" customHeight="1">
      <c r="A175" s="21" t="s">
        <v>279</v>
      </c>
      <c r="B175" s="21" t="s">
        <v>1427</v>
      </c>
      <c r="C175" s="21" t="s">
        <v>1428</v>
      </c>
      <c r="D175" s="21" t="str">
        <f t="shared" si="1"/>
        <v>JUST Capital - Co-founder (with Paul Tudor Jones II, 2015)</v>
      </c>
    </row>
    <row r="176" ht="15.75" customHeight="1">
      <c r="A176" s="21" t="s">
        <v>279</v>
      </c>
      <c r="B176" s="21" t="s">
        <v>1429</v>
      </c>
      <c r="C176" s="21" t="s">
        <v>1430</v>
      </c>
      <c r="D176" s="21" t="str">
        <f t="shared" si="1"/>
        <v>ISHAR - (Integrative Studies Historical Archive and Repository) — Founder (2014)</v>
      </c>
    </row>
    <row r="177" ht="15.75" customHeight="1">
      <c r="A177" s="21" t="s">
        <v>279</v>
      </c>
      <c r="B177" s="21" t="s">
        <v>1330</v>
      </c>
      <c r="C177" s="21" t="s">
        <v>1431</v>
      </c>
      <c r="D177" s="21" t="str">
        <f t="shared" si="1"/>
        <v>Virgin Comics / Virgin Animation - Co-founder (with Richard Branson, 2006)</v>
      </c>
    </row>
    <row r="178" ht="15.75" customHeight="1">
      <c r="A178" s="21" t="s">
        <v>279</v>
      </c>
      <c r="B178" s="21" t="s">
        <v>1432</v>
      </c>
      <c r="C178" s="21" t="s">
        <v>1433</v>
      </c>
      <c r="D178" s="21" t="str">
        <f t="shared" si="1"/>
        <v>American Association for Ayurvedic Medicine - Former Founder</v>
      </c>
    </row>
    <row r="179" ht="15.75" customHeight="1">
      <c r="A179" s="21" t="s">
        <v>279</v>
      </c>
      <c r="B179" s="21" t="s">
        <v>1434</v>
      </c>
      <c r="C179" s="21" t="s">
        <v>1433</v>
      </c>
      <c r="D179" s="21" t="str">
        <f t="shared" si="1"/>
        <v>Maharishi AyurVeda Products International - Former Founder</v>
      </c>
    </row>
    <row r="180" ht="15.75" customHeight="1">
      <c r="A180" s="21" t="s">
        <v>279</v>
      </c>
      <c r="B180" s="21" t="s">
        <v>1435</v>
      </c>
      <c r="C180" s="21" t="s">
        <v>1436</v>
      </c>
      <c r="D180" s="21" t="str">
        <f t="shared" si="1"/>
        <v>Men's Wearhouse - Board member (since 2004)</v>
      </c>
    </row>
    <row r="181" ht="15.75" customHeight="1">
      <c r="A181" s="21" t="s">
        <v>279</v>
      </c>
      <c r="B181" s="21" t="s">
        <v>1437</v>
      </c>
      <c r="C181" s="21" t="s">
        <v>1438</v>
      </c>
      <c r="D181" s="21" t="str">
        <f t="shared" si="1"/>
        <v>Gallup Organization - Former Senior Scientist</v>
      </c>
    </row>
    <row r="182" ht="15.75" customHeight="1">
      <c r="A182" s="21" t="s">
        <v>286</v>
      </c>
      <c r="B182" s="21" t="s">
        <v>1439</v>
      </c>
      <c r="C182" s="21" t="s">
        <v>1440</v>
      </c>
      <c r="D182" s="21" t="str">
        <f t="shared" si="1"/>
        <v>Harvard Medical School / Wyss Institute - Professor of Genetics; Core Faculty</v>
      </c>
    </row>
    <row r="183" ht="15.75" customHeight="1">
      <c r="A183" s="21" t="s">
        <v>286</v>
      </c>
      <c r="B183" s="21" t="s">
        <v>1441</v>
      </c>
      <c r="C183" s="21" t="s">
        <v>1442</v>
      </c>
      <c r="D183" s="21" t="str">
        <f t="shared" si="1"/>
        <v>Co - founded approximately 50 biotechnology companies, including:</v>
      </c>
    </row>
    <row r="184" ht="15.75" customHeight="1">
      <c r="A184" s="21" t="s">
        <v>286</v>
      </c>
      <c r="B184" s="21" t="s">
        <v>1443</v>
      </c>
      <c r="C184" s="21" t="s">
        <v>1444</v>
      </c>
      <c r="D184" s="21" t="str">
        <f t="shared" si="1"/>
        <v>Veritas Genetics - (full genome sequencing)</v>
      </c>
    </row>
    <row r="185" ht="15.75" customHeight="1">
      <c r="A185" s="21" t="s">
        <v>286</v>
      </c>
      <c r="B185" s="21" t="s">
        <v>1445</v>
      </c>
      <c r="C185" s="21" t="s">
        <v>1446</v>
      </c>
      <c r="D185" s="21" t="str">
        <f t="shared" si="1"/>
        <v>Nebula Genomics - (personal genomics)</v>
      </c>
    </row>
    <row r="186" ht="15.75" customHeight="1">
      <c r="A186" s="21" t="s">
        <v>286</v>
      </c>
      <c r="B186" s="21" t="s">
        <v>1447</v>
      </c>
      <c r="C186" s="21" t="s">
        <v>1448</v>
      </c>
      <c r="D186" s="21" t="str">
        <f t="shared" si="1"/>
        <v>Editas Medicine - (gene therapy)</v>
      </c>
    </row>
    <row r="187" ht="15.75" customHeight="1">
      <c r="A187" s="21" t="s">
        <v>286</v>
      </c>
      <c r="B187" s="21" t="s">
        <v>1449</v>
      </c>
      <c r="C187" s="21" t="s">
        <v>1450</v>
      </c>
      <c r="D187" s="21" t="str">
        <f t="shared" si="1"/>
        <v>Gen9bio - (synthetic DNA)</v>
      </c>
    </row>
    <row r="188" ht="15.75" customHeight="1">
      <c r="A188" s="21" t="s">
        <v>286</v>
      </c>
      <c r="B188" s="21" t="s">
        <v>1451</v>
      </c>
      <c r="C188" s="21" t="s">
        <v>1452</v>
      </c>
      <c r="D188" s="21" t="str">
        <f t="shared" si="1"/>
        <v>Manifold Bio - (protein barcoding)</v>
      </c>
    </row>
    <row r="189" ht="15.75" customHeight="1">
      <c r="A189" s="21" t="s">
        <v>286</v>
      </c>
      <c r="B189" s="21" t="s">
        <v>1453</v>
      </c>
      <c r="C189" s="21" t="s">
        <v>1454</v>
      </c>
      <c r="D189" s="21" t="str">
        <f t="shared" si="1"/>
        <v>Knome - (human genomics)</v>
      </c>
    </row>
    <row r="190" ht="15.75" customHeight="1">
      <c r="A190" s="21" t="s">
        <v>286</v>
      </c>
      <c r="B190" s="21" t="s">
        <v>1455</v>
      </c>
      <c r="C190" s="21" t="s">
        <v>1456</v>
      </c>
      <c r="D190" s="21" t="str">
        <f t="shared" si="1"/>
        <v>LS9 - (green chemistry)</v>
      </c>
    </row>
    <row r="191" ht="15.75" customHeight="1">
      <c r="A191" s="21" t="s">
        <v>286</v>
      </c>
      <c r="B191" s="21" t="s">
        <v>1457</v>
      </c>
      <c r="C191" s="21" t="s">
        <v>1458</v>
      </c>
      <c r="D191" s="21" t="str">
        <f t="shared" si="1"/>
        <v>Joule Unlimited - (solar fuel)</v>
      </c>
    </row>
    <row r="192" ht="15.75" customHeight="1">
      <c r="A192" s="21" t="s">
        <v>286</v>
      </c>
      <c r="B192" s="21" t="s">
        <v>1459</v>
      </c>
      <c r="D192" s="21" t="str">
        <f t="shared" si="1"/>
        <v>Warp Drive Bio</v>
      </c>
    </row>
    <row r="193" ht="15.75" customHeight="1">
      <c r="A193" s="21" t="s">
        <v>286</v>
      </c>
      <c r="B193" s="21" t="s">
        <v>1460</v>
      </c>
      <c r="D193" s="21" t="str">
        <f t="shared" si="1"/>
        <v>Alacris</v>
      </c>
    </row>
    <row r="194" ht="15.75" customHeight="1">
      <c r="A194" s="21" t="s">
        <v>286</v>
      </c>
      <c r="B194" s="21" t="s">
        <v>1461</v>
      </c>
      <c r="D194" s="21" t="str">
        <f t="shared" si="1"/>
        <v>Pathogenica</v>
      </c>
    </row>
    <row r="195" ht="15.75" customHeight="1">
      <c r="A195" s="21" t="s">
        <v>286</v>
      </c>
      <c r="B195" s="21" t="s">
        <v>1441</v>
      </c>
      <c r="C195" s="21" t="s">
        <v>1462</v>
      </c>
      <c r="D195" s="21" t="str">
        <f t="shared" si="1"/>
        <v>Co - initiator, Human Genome Project (1984)</v>
      </c>
    </row>
    <row r="196" ht="15.75" customHeight="1">
      <c r="A196" s="21" t="s">
        <v>286</v>
      </c>
      <c r="B196" s="21" t="s">
        <v>1463</v>
      </c>
      <c r="D196" s="21" t="str">
        <f t="shared" si="1"/>
        <v>Founder, Personal Genome Project (2005)</v>
      </c>
    </row>
    <row r="197" ht="15.75" customHeight="1">
      <c r="A197" s="21" t="s">
        <v>294</v>
      </c>
      <c r="B197" s="21" t="s">
        <v>1464</v>
      </c>
      <c r="C197" s="21" t="s">
        <v>1465</v>
      </c>
      <c r="D197" s="21" t="str">
        <f t="shared" si="1"/>
        <v>Russian Federation - Permanent Representative to the United Nations (2006–2017)</v>
      </c>
    </row>
    <row r="198" ht="15.75" customHeight="1">
      <c r="A198" s="21" t="s">
        <v>294</v>
      </c>
      <c r="B198" s="21" t="s">
        <v>1466</v>
      </c>
      <c r="C198" s="21" t="s">
        <v>1467</v>
      </c>
      <c r="D198" s="21" t="str">
        <f t="shared" si="1"/>
        <v>Former Ambassador to Belgium (1994 - 1998) and Canada (1998–2003)</v>
      </c>
    </row>
    <row r="199" ht="15.75" customHeight="1">
      <c r="A199" s="21" t="s">
        <v>294</v>
      </c>
      <c r="B199" s="21" t="s">
        <v>1468</v>
      </c>
      <c r="D199" s="21" t="str">
        <f t="shared" si="1"/>
        <v>Chairman, Senior Officials of the Arctic Council</v>
      </c>
    </row>
    <row r="200" ht="15.75" customHeight="1">
      <c r="A200" s="21" t="s">
        <v>302</v>
      </c>
      <c r="B200" s="21" t="s">
        <v>1469</v>
      </c>
      <c r="C200" s="21" t="s">
        <v>1470</v>
      </c>
      <c r="D200" s="21" t="str">
        <f t="shared" si="1"/>
        <v>United States of America - 42nd President (1993–2001)</v>
      </c>
    </row>
    <row r="201" ht="15.75" customHeight="1">
      <c r="A201" s="21" t="s">
        <v>302</v>
      </c>
      <c r="B201" s="21" t="s">
        <v>1471</v>
      </c>
      <c r="C201" s="21" t="s">
        <v>1472</v>
      </c>
      <c r="D201" s="21" t="str">
        <f t="shared" si="1"/>
        <v>Clinton Foundation - (Bill, Hillary &amp; Chelsea Clinton Foundation) — Founder</v>
      </c>
    </row>
    <row r="202" ht="15.75" customHeight="1">
      <c r="A202" s="21" t="s">
        <v>302</v>
      </c>
      <c r="B202" s="21" t="s">
        <v>1473</v>
      </c>
      <c r="C202" s="21" t="s">
        <v>1188</v>
      </c>
      <c r="D202" s="21" t="str">
        <f t="shared" si="1"/>
        <v>Clinton Global Initiative (CGI) - Founder</v>
      </c>
    </row>
    <row r="203" ht="15.75" customHeight="1">
      <c r="A203" s="21" t="s">
        <v>302</v>
      </c>
      <c r="B203" s="21" t="s">
        <v>1474</v>
      </c>
      <c r="C203" s="21" t="s">
        <v>1188</v>
      </c>
      <c r="D203" s="21" t="str">
        <f t="shared" si="1"/>
        <v>Clinton Climate Initiative (CCI) - Founder</v>
      </c>
    </row>
    <row r="204" ht="15.75" customHeight="1">
      <c r="A204" s="21" t="s">
        <v>302</v>
      </c>
      <c r="B204" s="21" t="s">
        <v>1475</v>
      </c>
      <c r="C204" s="21" t="s">
        <v>1256</v>
      </c>
      <c r="D204" s="21" t="str">
        <f t="shared" si="1"/>
        <v>Interim Haiti Recovery Commission - Former head</v>
      </c>
    </row>
    <row r="205" ht="15.75" customHeight="1">
      <c r="A205" s="21" t="s">
        <v>311</v>
      </c>
      <c r="B205" s="21" t="s">
        <v>1476</v>
      </c>
      <c r="C205" s="21" t="s">
        <v>1477</v>
      </c>
      <c r="D205" s="21" t="str">
        <f t="shared" si="1"/>
        <v>International Museum and Library of the Conjuring Arts - Owner</v>
      </c>
    </row>
    <row r="206" ht="15.75" customHeight="1">
      <c r="A206" s="21" t="s">
        <v>311</v>
      </c>
      <c r="B206" s="21" t="s">
        <v>1478</v>
      </c>
      <c r="C206" s="21" t="s">
        <v>1479</v>
      </c>
      <c r="D206" s="21" t="str">
        <f t="shared" si="1"/>
        <v>Musha Cay and the Islands of Copperfield Bay - Owner (~700-acre archipelago, Bahamas)</v>
      </c>
    </row>
    <row r="207" ht="15.75" customHeight="1">
      <c r="A207" s="21" t="s">
        <v>311</v>
      </c>
      <c r="B207" s="21" t="s">
        <v>1480</v>
      </c>
      <c r="C207" s="21" t="s">
        <v>1481</v>
      </c>
      <c r="D207" s="21" t="str">
        <f t="shared" si="1"/>
        <v>Project Magic - Founder (rehabilitation program in 1,100+ hospitals)</v>
      </c>
    </row>
    <row r="208" ht="15.75" customHeight="1">
      <c r="A208" s="21" t="s">
        <v>318</v>
      </c>
      <c r="B208" s="21" t="s">
        <v>1482</v>
      </c>
      <c r="C208" s="21" t="s">
        <v>1172</v>
      </c>
      <c r="D208" s="21" t="str">
        <f t="shared" si="1"/>
        <v>Campbell, Silver, Cosby (CSC) Corporation - Co-founder</v>
      </c>
    </row>
    <row r="209" ht="15.75" customHeight="1">
      <c r="A209" s="21" t="s">
        <v>318</v>
      </c>
      <c r="B209" s="21" t="s">
        <v>1483</v>
      </c>
      <c r="C209" s="21" t="s">
        <v>1484</v>
      </c>
      <c r="D209" s="21" t="str">
        <f t="shared" si="1"/>
        <v>Tetragrammaton Records - (division of CSC) — Co-founder</v>
      </c>
    </row>
    <row r="210" ht="15.75" customHeight="1">
      <c r="A210" s="21" t="s">
        <v>318</v>
      </c>
      <c r="B210" s="21" t="s">
        <v>1485</v>
      </c>
      <c r="C210" s="21" t="s">
        <v>1172</v>
      </c>
      <c r="D210" s="21" t="str">
        <f t="shared" si="1"/>
        <v>William Henry Cosby Jr and Camille Olivia Cosby Foundation - Co-founder</v>
      </c>
    </row>
    <row r="211" ht="15.75" customHeight="1">
      <c r="A211" s="21" t="s">
        <v>1486</v>
      </c>
      <c r="B211" s="21" t="s">
        <v>1487</v>
      </c>
      <c r="C211" s="21" t="s">
        <v>1488</v>
      </c>
      <c r="D211" s="21" t="str">
        <f t="shared" si="1"/>
        <v>Tibetan Government-in-Exile (Central Tibetan Administration) - Spiritual leader</v>
      </c>
    </row>
    <row r="212" ht="15.75" customHeight="1">
      <c r="A212" s="21" t="s">
        <v>1486</v>
      </c>
      <c r="B212" s="21" t="s">
        <v>1489</v>
      </c>
      <c r="C212" s="21" t="s">
        <v>1490</v>
      </c>
      <c r="D212" s="21" t="str">
        <f t="shared" si="1"/>
        <v>Gaden Phodrang Foundation of the Dalai Lama - Founder and President</v>
      </c>
    </row>
    <row r="213" ht="15.75" customHeight="1">
      <c r="A213" s="21" t="s">
        <v>325</v>
      </c>
      <c r="B213" s="21" t="s">
        <v>1491</v>
      </c>
      <c r="C213" s="21" t="s">
        <v>1492</v>
      </c>
      <c r="D213" s="21" t="str">
        <f t="shared" si="1"/>
        <v>Richard Dawkins Foundation for Reason and Science - Founder (now a division of Center for Inquiry after 2016 merger)</v>
      </c>
    </row>
    <row r="214" ht="15.75" customHeight="1">
      <c r="A214" s="21" t="s">
        <v>325</v>
      </c>
      <c r="B214" s="21" t="s">
        <v>1493</v>
      </c>
      <c r="C214" s="21" t="s">
        <v>1494</v>
      </c>
      <c r="D214" s="21" t="str">
        <f t="shared" si="1"/>
        <v>Center for Inquiry - Board of Directors (post-merger)</v>
      </c>
    </row>
    <row r="215" ht="15.75" customHeight="1">
      <c r="A215" s="21" t="s">
        <v>338</v>
      </c>
      <c r="B215" s="21" t="s">
        <v>1495</v>
      </c>
      <c r="C215" s="21" t="s">
        <v>1496</v>
      </c>
      <c r="D215" s="21" t="str">
        <f t="shared" si="1"/>
        <v>Harvard Law School - Felix Frankfurter Professor of Law Emeritus (1964–2013)</v>
      </c>
    </row>
    <row r="216" ht="15.75" customHeight="1">
      <c r="A216" s="21" t="s">
        <v>338</v>
      </c>
      <c r="B216" s="21" t="s">
        <v>1497</v>
      </c>
      <c r="C216" s="21" t="s">
        <v>1498</v>
      </c>
      <c r="D216" s="21" t="str">
        <f t="shared" si="1"/>
        <v>Gatestone Institute - Distinguished Senior Fellow</v>
      </c>
    </row>
    <row r="217" ht="15.75" customHeight="1">
      <c r="A217" s="21" t="s">
        <v>338</v>
      </c>
      <c r="B217" s="21" t="s">
        <v>1499</v>
      </c>
      <c r="D217" s="21" t="str">
        <f t="shared" si="1"/>
        <v>Private legal practice</v>
      </c>
    </row>
    <row r="218" ht="15.75" customHeight="1">
      <c r="A218" s="21" t="s">
        <v>346</v>
      </c>
      <c r="B218" s="21" t="s">
        <v>1500</v>
      </c>
      <c r="C218" s="21" t="s">
        <v>1501</v>
      </c>
      <c r="D218" s="21" t="str">
        <f t="shared" si="1"/>
        <v>Day One Ventures - Founder and General Partner (venture capital firm, 2017)</v>
      </c>
    </row>
    <row r="219" ht="15.75" customHeight="1">
      <c r="A219" s="21" t="s">
        <v>346</v>
      </c>
      <c r="B219" s="21" t="s">
        <v>1502</v>
      </c>
      <c r="C219" s="21" t="s">
        <v>1188</v>
      </c>
      <c r="D219" s="21" t="str">
        <f t="shared" si="1"/>
        <v>M&amp;A PR Studio - Founder</v>
      </c>
    </row>
    <row r="220" ht="15.75" customHeight="1">
      <c r="A220" s="21" t="s">
        <v>346</v>
      </c>
      <c r="B220" s="21" t="s">
        <v>1503</v>
      </c>
      <c r="C220" s="21" t="s">
        <v>1504</v>
      </c>
      <c r="D220" s="21" t="str">
        <f t="shared" si="1"/>
        <v>Former Federal Commissioner/Spokesperson, Nashi (pro - Kremlin youth movement, 2007–2011)</v>
      </c>
    </row>
    <row r="221" ht="15.75" customHeight="1">
      <c r="A221" s="21" t="s">
        <v>346</v>
      </c>
      <c r="B221" s="21" t="s">
        <v>1505</v>
      </c>
      <c r="D221" s="21" t="str">
        <f t="shared" si="1"/>
        <v>Former VP of Communications, Acronis</v>
      </c>
    </row>
    <row r="222" ht="15.75" customHeight="1">
      <c r="A222" s="21" t="s">
        <v>353</v>
      </c>
      <c r="B222" s="21" t="s">
        <v>1506</v>
      </c>
      <c r="C222" s="21" t="s">
        <v>1507</v>
      </c>
      <c r="D222" s="21" t="str">
        <f t="shared" si="1"/>
        <v>Dubin &amp; Co. LP - Founder and Principal</v>
      </c>
    </row>
    <row r="223" ht="15.75" customHeight="1">
      <c r="A223" s="21" t="s">
        <v>353</v>
      </c>
      <c r="B223" s="21" t="s">
        <v>1508</v>
      </c>
      <c r="C223" s="21" t="s">
        <v>1509</v>
      </c>
      <c r="D223" s="21" t="str">
        <f t="shared" si="1"/>
        <v>Highbridge Capital Management - Co-founder (acquired by J.P. Morgan)</v>
      </c>
    </row>
    <row r="224" ht="15.75" customHeight="1">
      <c r="A224" s="21" t="s">
        <v>353</v>
      </c>
      <c r="B224" s="21" t="s">
        <v>1510</v>
      </c>
      <c r="C224" s="21" t="s">
        <v>1511</v>
      </c>
      <c r="D224" s="21" t="str">
        <f t="shared" si="1"/>
        <v>Castleton Commodities International (CCI) - Lead shareholder</v>
      </c>
    </row>
    <row r="225" ht="15.75" customHeight="1">
      <c r="A225" s="21" t="s">
        <v>353</v>
      </c>
      <c r="B225" s="21" t="s">
        <v>1512</v>
      </c>
      <c r="C225" s="21" t="s">
        <v>1188</v>
      </c>
      <c r="D225" s="21" t="str">
        <f t="shared" si="1"/>
        <v>Engineers Gate LP - Founder</v>
      </c>
    </row>
    <row r="226" ht="15.75" customHeight="1">
      <c r="A226" s="21" t="s">
        <v>353</v>
      </c>
      <c r="B226" s="21" t="s">
        <v>1163</v>
      </c>
      <c r="C226" s="21" t="s">
        <v>1143</v>
      </c>
      <c r="D226" s="21" t="str">
        <f t="shared" si="1"/>
        <v>Dubin Family Foundation - Chairman</v>
      </c>
    </row>
    <row r="227" ht="15.75" customHeight="1">
      <c r="A227" s="21" t="s">
        <v>353</v>
      </c>
      <c r="B227" s="21" t="s">
        <v>1513</v>
      </c>
      <c r="C227" s="21" t="s">
        <v>1514</v>
      </c>
      <c r="D227" s="21" t="str">
        <f t="shared" si="1"/>
        <v>Robin Hood Foundation - Founding board member</v>
      </c>
    </row>
    <row r="228" ht="15.75" customHeight="1">
      <c r="A228" s="21" t="s">
        <v>361</v>
      </c>
      <c r="B228" s="21" t="s">
        <v>1515</v>
      </c>
      <c r="C228" s="21" t="s">
        <v>1516</v>
      </c>
      <c r="D228" s="21" t="str">
        <f t="shared" si="1"/>
        <v>Island Capital Group LLC - Founder, Chairman, and CEO</v>
      </c>
    </row>
    <row r="229" ht="15.75" customHeight="1">
      <c r="A229" s="21" t="s">
        <v>361</v>
      </c>
      <c r="B229" s="21" t="s">
        <v>1517</v>
      </c>
      <c r="C229" s="21" t="s">
        <v>1518</v>
      </c>
      <c r="D229" s="21" t="str">
        <f t="shared" si="1"/>
        <v>C-III Capital Partners - CEO</v>
      </c>
    </row>
    <row r="230" ht="15.75" customHeight="1">
      <c r="A230" s="21" t="s">
        <v>361</v>
      </c>
      <c r="B230" s="21" t="s">
        <v>1519</v>
      </c>
      <c r="C230" s="21" t="s">
        <v>1518</v>
      </c>
      <c r="D230" s="21" t="str">
        <f t="shared" si="1"/>
        <v>Anubis Advisors - CEO</v>
      </c>
    </row>
    <row r="231" ht="15.75" customHeight="1">
      <c r="A231" s="21" t="s">
        <v>361</v>
      </c>
      <c r="B231" s="21" t="s">
        <v>1520</v>
      </c>
      <c r="C231" s="21" t="s">
        <v>1143</v>
      </c>
      <c r="D231" s="21" t="str">
        <f t="shared" si="1"/>
        <v>Island Global Yachting - Chairman</v>
      </c>
    </row>
    <row r="232" ht="15.75" customHeight="1">
      <c r="A232" s="21" t="s">
        <v>361</v>
      </c>
      <c r="B232" s="21" t="s">
        <v>1521</v>
      </c>
      <c r="C232" s="21" t="s">
        <v>1522</v>
      </c>
      <c r="D232" s="21" t="str">
        <f t="shared" si="1"/>
        <v>Insignia Financial Group - (NYSE: IFS) — Former Founder, Chairman, and CEO (merged with CBRE in 2003)</v>
      </c>
    </row>
    <row r="233" ht="15.75" customHeight="1">
      <c r="A233" s="21" t="s">
        <v>368</v>
      </c>
      <c r="B233" s="21" t="s">
        <v>1523</v>
      </c>
      <c r="C233" s="21" t="s">
        <v>1524</v>
      </c>
      <c r="D233" s="21" t="str">
        <f t="shared" si="1"/>
        <v>Children in Crisis - Founder and Life President (1993)</v>
      </c>
    </row>
    <row r="234" ht="15.75" customHeight="1">
      <c r="A234" s="21" t="s">
        <v>368</v>
      </c>
      <c r="B234" s="21" t="s">
        <v>1525</v>
      </c>
      <c r="C234" s="21" t="s">
        <v>1526</v>
      </c>
      <c r="D234" s="21" t="str">
        <f t="shared" si="1"/>
        <v>The Sarah Ferguson Foundation - (Toronto) — Founder (2006)</v>
      </c>
    </row>
    <row r="235" ht="15.75" customHeight="1">
      <c r="A235" s="21" t="s">
        <v>368</v>
      </c>
      <c r="B235" s="21" t="s">
        <v>1527</v>
      </c>
      <c r="C235" s="21" t="s">
        <v>1528</v>
      </c>
      <c r="D235" s="21" t="str">
        <f t="shared" si="1"/>
        <v>Sarah's Trust - Founder (2020)</v>
      </c>
    </row>
    <row r="236" ht="15.75" customHeight="1">
      <c r="A236" s="21" t="s">
        <v>368</v>
      </c>
      <c r="B236" s="21" t="s">
        <v>1529</v>
      </c>
      <c r="C236" s="21" t="s">
        <v>1530</v>
      </c>
      <c r="D236" s="21" t="str">
        <f t="shared" si="1"/>
        <v>Hartmoor LLC - Founder (2006; collapsed 2009)</v>
      </c>
    </row>
    <row r="237" ht="15.75" customHeight="1">
      <c r="A237" s="21" t="s">
        <v>368</v>
      </c>
      <c r="B237" s="21" t="s">
        <v>1531</v>
      </c>
      <c r="C237" s="21" t="s">
        <v>1532</v>
      </c>
      <c r="D237" s="21" t="str">
        <f t="shared" si="1"/>
        <v>Key to Freedom - Co-founder (with Prince Andrew, Beatrice, and Eugenie, 2013)</v>
      </c>
    </row>
    <row r="238" ht="15.75" customHeight="1">
      <c r="A238" s="21" t="s">
        <v>368</v>
      </c>
      <c r="B238" s="21" t="s">
        <v>1533</v>
      </c>
      <c r="D238" s="21" t="str">
        <f t="shared" si="1"/>
        <v>Patron/President: Motor Neurone Disease Association, International Alliance for ALS, and others</v>
      </c>
    </row>
    <row r="239" ht="15.75" customHeight="1">
      <c r="A239" s="21" t="s">
        <v>376</v>
      </c>
      <c r="B239" s="21" t="s">
        <v>1534</v>
      </c>
      <c r="C239" s="21" t="s">
        <v>1172</v>
      </c>
      <c r="D239" s="21" t="str">
        <f t="shared" si="1"/>
        <v>Microsoft - Co-founder</v>
      </c>
    </row>
    <row r="240" ht="15.75" customHeight="1">
      <c r="A240" s="21" t="s">
        <v>376</v>
      </c>
      <c r="B240" s="21" t="s">
        <v>1535</v>
      </c>
      <c r="C240" s="21" t="s">
        <v>1301</v>
      </c>
      <c r="D240" s="21" t="str">
        <f t="shared" si="1"/>
        <v>Bill &amp; Melinda Gates Foundation - Co-chair</v>
      </c>
    </row>
    <row r="241" ht="15.75" customHeight="1">
      <c r="A241" s="21" t="s">
        <v>376</v>
      </c>
      <c r="B241" s="21" t="s">
        <v>1536</v>
      </c>
      <c r="C241" s="21" t="s">
        <v>1188</v>
      </c>
      <c r="D241" s="21" t="str">
        <f t="shared" si="1"/>
        <v>Breakthrough Energy - Founder</v>
      </c>
    </row>
    <row r="242" ht="15.75" customHeight="1">
      <c r="A242" s="21" t="s">
        <v>376</v>
      </c>
      <c r="B242" s="21" t="s">
        <v>1537</v>
      </c>
      <c r="C242" s="21" t="s">
        <v>1538</v>
      </c>
      <c r="D242" s="21" t="str">
        <f t="shared" si="1"/>
        <v>Cascade Investment LLC - Founder (manages family office and foundation investments)</v>
      </c>
    </row>
    <row r="243" ht="15.75" customHeight="1">
      <c r="A243" s="21" t="s">
        <v>376</v>
      </c>
      <c r="B243" s="21" t="s">
        <v>1539</v>
      </c>
      <c r="C243" s="21" t="s">
        <v>1540</v>
      </c>
      <c r="D243" s="21" t="str">
        <f t="shared" si="1"/>
        <v>TerraPower - Co-founder (advanced nuclear energy)</v>
      </c>
    </row>
    <row r="244" ht="15.75" customHeight="1">
      <c r="A244" s="21" t="s">
        <v>376</v>
      </c>
      <c r="B244" s="21" t="s">
        <v>1541</v>
      </c>
      <c r="C244" s="21" t="s">
        <v>1542</v>
      </c>
      <c r="D244" s="21" t="str">
        <f t="shared" si="1"/>
        <v>BENlabs - (formerly Corbis) — Significant equity holder</v>
      </c>
    </row>
    <row r="245" ht="15.75" customHeight="1">
      <c r="A245" s="21" t="s">
        <v>376</v>
      </c>
      <c r="B245" s="21" t="s">
        <v>1543</v>
      </c>
      <c r="C245" s="21" t="s">
        <v>1544</v>
      </c>
      <c r="D245" s="21" t="str">
        <f t="shared" si="1"/>
        <v>Gates Foundation Trust - Major shareholdings in Ecolab, Walmart, Coca-Cola Femsa, Waste Connections, and others</v>
      </c>
    </row>
    <row r="246" ht="15.75" customHeight="1">
      <c r="A246" s="21" t="s">
        <v>383</v>
      </c>
      <c r="B246" s="21" t="s">
        <v>1545</v>
      </c>
      <c r="C246" s="21" t="s">
        <v>1546</v>
      </c>
      <c r="D246" s="21" t="str">
        <f t="shared" si="1"/>
        <v>Yale University - Professor of Computer Science</v>
      </c>
    </row>
    <row r="247" ht="15.75" customHeight="1">
      <c r="A247" s="21" t="s">
        <v>383</v>
      </c>
      <c r="B247" s="21" t="s">
        <v>1547</v>
      </c>
      <c r="C247" s="21" t="s">
        <v>1548</v>
      </c>
      <c r="D247" s="21" t="str">
        <f t="shared" si="1"/>
        <v>Mirror Worlds Technologies - Chief Scientist</v>
      </c>
    </row>
    <row r="248" ht="15.75" customHeight="1">
      <c r="A248" s="21" t="s">
        <v>383</v>
      </c>
      <c r="B248" s="21" t="s">
        <v>1549</v>
      </c>
      <c r="C248" s="21" t="s">
        <v>1550</v>
      </c>
      <c r="D248" s="21" t="str">
        <f t="shared" si="1"/>
        <v>National Council of the Arts - Member</v>
      </c>
    </row>
    <row r="249" ht="15.75" customHeight="1">
      <c r="A249" s="21" t="s">
        <v>390</v>
      </c>
      <c r="B249" s="21" t="s">
        <v>1551</v>
      </c>
      <c r="C249" s="21" t="s">
        <v>1552</v>
      </c>
      <c r="D249" s="21" t="str">
        <f t="shared" si="1"/>
        <v>Joe Gibbs Racing (JGR) - Founder and Owner (1992)</v>
      </c>
    </row>
    <row r="250" ht="15.75" customHeight="1">
      <c r="A250" s="21" t="s">
        <v>390</v>
      </c>
      <c r="B250" s="21" t="s">
        <v>1553</v>
      </c>
      <c r="C250" s="21" t="s">
        <v>1554</v>
      </c>
      <c r="D250" s="21" t="str">
        <f t="shared" si="1"/>
        <v>Harris Blitzer Sports &amp; Entertainment (HBSE) - Limited Partner</v>
      </c>
    </row>
    <row r="251" ht="15.75" customHeight="1">
      <c r="A251" s="21" t="s">
        <v>390</v>
      </c>
      <c r="B251" s="21" t="s">
        <v>1555</v>
      </c>
      <c r="C251" s="21" t="s">
        <v>1556</v>
      </c>
      <c r="D251" s="21" t="str">
        <f t="shared" si="1"/>
        <v>Pro Football Hall of Fame - inductee; former head coach of Washington NFL franchise</v>
      </c>
    </row>
    <row r="252" ht="15.75" customHeight="1">
      <c r="A252" s="21" t="s">
        <v>396</v>
      </c>
      <c r="B252" s="21" t="s">
        <v>1557</v>
      </c>
      <c r="C252" s="21" t="s">
        <v>1558</v>
      </c>
      <c r="D252" s="21" t="str">
        <f t="shared" si="1"/>
        <v>NYU Stern School of Business - Professor of Ethical Leadership</v>
      </c>
    </row>
    <row r="253" ht="15.75" customHeight="1">
      <c r="A253" s="21" t="s">
        <v>396</v>
      </c>
      <c r="B253" s="21" t="s">
        <v>1559</v>
      </c>
      <c r="C253" s="21" t="s">
        <v>1560</v>
      </c>
      <c r="D253" s="21" t="str">
        <f t="shared" si="1"/>
        <v>Ethical Systems - Founder (2011)</v>
      </c>
    </row>
    <row r="254" ht="15.75" customHeight="1">
      <c r="A254" s="21" t="s">
        <v>396</v>
      </c>
      <c r="B254" s="21" t="s">
        <v>1561</v>
      </c>
      <c r="C254" s="21" t="s">
        <v>1562</v>
      </c>
      <c r="D254" s="21" t="str">
        <f t="shared" si="1"/>
        <v>Heterodox Academy - Co-founder (2015)</v>
      </c>
    </row>
    <row r="255" ht="15.75" customHeight="1">
      <c r="A255" s="21" t="s">
        <v>396</v>
      </c>
      <c r="B255" s="21" t="s">
        <v>1563</v>
      </c>
      <c r="C255" s="21" t="s">
        <v>1564</v>
      </c>
      <c r="D255" s="21" t="str">
        <f t="shared" si="1"/>
        <v>Let Grow - Co-founder (2017)</v>
      </c>
    </row>
    <row r="256" ht="15.75" customHeight="1">
      <c r="A256" s="21" t="s">
        <v>396</v>
      </c>
      <c r="B256" s="21" t="s">
        <v>1565</v>
      </c>
      <c r="C256" s="21" t="s">
        <v>1564</v>
      </c>
      <c r="D256" s="21" t="str">
        <f t="shared" si="1"/>
        <v>Constructive Dialogue Institute - Co-founder (2017)</v>
      </c>
    </row>
    <row r="257" ht="15.75" customHeight="1">
      <c r="A257" s="21" t="s">
        <v>396</v>
      </c>
      <c r="B257" s="21" t="s">
        <v>1566</v>
      </c>
      <c r="C257" s="21" t="s">
        <v>1567</v>
      </c>
      <c r="D257" s="21" t="str">
        <f t="shared" si="1"/>
        <v>After Babel - Publisher (Substack)</v>
      </c>
    </row>
    <row r="258" ht="15.75" customHeight="1">
      <c r="A258" s="21" t="s">
        <v>402</v>
      </c>
      <c r="B258" s="21" t="s">
        <v>1262</v>
      </c>
      <c r="C258" s="21" t="s">
        <v>1172</v>
      </c>
      <c r="D258" s="21" t="str">
        <f t="shared" si="1"/>
        <v>Apollo Global Management - Co-founder</v>
      </c>
    </row>
    <row r="259" ht="15.75" customHeight="1">
      <c r="A259" s="21" t="s">
        <v>402</v>
      </c>
      <c r="B259" s="21" t="s">
        <v>1553</v>
      </c>
      <c r="C259" s="21" t="s">
        <v>1568</v>
      </c>
      <c r="D259" s="21" t="str">
        <f t="shared" si="1"/>
        <v>Harris Blitzer Sports &amp; Entertainment (HBSE) - Founder and Managing Partner</v>
      </c>
    </row>
    <row r="260" ht="15.75" customHeight="1">
      <c r="A260" s="21" t="s">
        <v>402</v>
      </c>
      <c r="B260" s="21" t="s">
        <v>1569</v>
      </c>
      <c r="C260" s="21" t="s">
        <v>1570</v>
      </c>
      <c r="D260" s="21" t="str">
        <f t="shared" si="1"/>
        <v>26North - Founder (alternative assets firm, 2022)</v>
      </c>
    </row>
    <row r="261" ht="15.75" customHeight="1">
      <c r="A261" s="21" t="s">
        <v>402</v>
      </c>
      <c r="B261" s="21" t="s">
        <v>1571</v>
      </c>
      <c r="C261" s="21" t="s">
        <v>1572</v>
      </c>
      <c r="D261" s="21" t="str">
        <f t="shared" si="1"/>
        <v>Philadelphia 76ers - Managing Partner</v>
      </c>
    </row>
    <row r="262" ht="15.75" customHeight="1">
      <c r="A262" s="21" t="s">
        <v>402</v>
      </c>
      <c r="B262" s="21" t="s">
        <v>1573</v>
      </c>
      <c r="C262" s="21" t="s">
        <v>1572</v>
      </c>
      <c r="D262" s="21" t="str">
        <f t="shared" si="1"/>
        <v>New Jersey Devils - Managing Partner</v>
      </c>
    </row>
    <row r="263" ht="15.75" customHeight="1">
      <c r="A263" s="21" t="s">
        <v>402</v>
      </c>
      <c r="B263" s="21" t="s">
        <v>1574</v>
      </c>
      <c r="C263" s="21" t="s">
        <v>1572</v>
      </c>
      <c r="D263" s="21" t="str">
        <f t="shared" si="1"/>
        <v>Washington Commanders - Managing Partner</v>
      </c>
    </row>
    <row r="264" ht="15.75" customHeight="1">
      <c r="A264" s="21" t="s">
        <v>402</v>
      </c>
      <c r="B264" s="21" t="s">
        <v>1575</v>
      </c>
      <c r="C264" s="21" t="s">
        <v>1576</v>
      </c>
      <c r="D264" s="21" t="str">
        <f t="shared" si="1"/>
        <v>Crystal Palace FC - General Partner</v>
      </c>
    </row>
    <row r="265" ht="15.75" customHeight="1">
      <c r="A265" s="21" t="s">
        <v>402</v>
      </c>
      <c r="B265" s="21" t="s">
        <v>1577</v>
      </c>
      <c r="C265" s="21" t="s">
        <v>1578</v>
      </c>
      <c r="D265" s="21" t="str">
        <f t="shared" si="1"/>
        <v>Joe Gibbs Racing - Minority stakeholder</v>
      </c>
    </row>
    <row r="266" ht="15.75" customHeight="1">
      <c r="A266" s="21" t="s">
        <v>402</v>
      </c>
      <c r="B266" s="21" t="s">
        <v>1579</v>
      </c>
      <c r="C266" s="21" t="s">
        <v>1580</v>
      </c>
      <c r="D266" s="21" t="str">
        <f t="shared" si="1"/>
        <v>Harris Philanthropies - Founder (2014)</v>
      </c>
    </row>
    <row r="267" ht="15.75" customHeight="1">
      <c r="A267" s="21" t="s">
        <v>410</v>
      </c>
      <c r="B267" s="21" t="s">
        <v>1581</v>
      </c>
      <c r="C267" s="21" t="s">
        <v>1582</v>
      </c>
      <c r="D267" s="21" t="str">
        <f t="shared" si="1"/>
        <v>Waking Up - (meditation app and platform) — Founder and CEO</v>
      </c>
    </row>
    <row r="268" ht="15.75" customHeight="1">
      <c r="A268" s="21" t="s">
        <v>410</v>
      </c>
      <c r="B268" s="21" t="s">
        <v>1583</v>
      </c>
      <c r="C268" s="21" t="s">
        <v>1584</v>
      </c>
      <c r="D268" s="21" t="str">
        <f t="shared" si="1"/>
        <v>Making Sense - podcast — Host</v>
      </c>
    </row>
    <row r="269" ht="15.75" customHeight="1">
      <c r="A269" s="21" t="s">
        <v>410</v>
      </c>
      <c r="B269" s="21" t="s">
        <v>1585</v>
      </c>
      <c r="C269" s="21" t="s">
        <v>1586</v>
      </c>
      <c r="D269" s="21" t="str">
        <f t="shared" si="1"/>
        <v>Project Reason - Co-founder (non-profit promoting science and secularism)</v>
      </c>
    </row>
    <row r="270" ht="15.75" customHeight="1">
      <c r="A270" s="21" t="s">
        <v>1587</v>
      </c>
      <c r="B270" s="21" t="s">
        <v>1588</v>
      </c>
      <c r="C270" s="21" t="s">
        <v>1589</v>
      </c>
      <c r="D270" s="21" t="str">
        <f t="shared" si="1"/>
        <v>University of Cambridge, DAMTP - Lucasian Professor of Mathematics (1979–2009)</v>
      </c>
    </row>
    <row r="271" ht="15.75" customHeight="1">
      <c r="A271" s="21" t="s">
        <v>1587</v>
      </c>
      <c r="B271" s="21" t="s">
        <v>1590</v>
      </c>
      <c r="C271" s="21" t="s">
        <v>1591</v>
      </c>
      <c r="D271" s="21" t="str">
        <f t="shared" si="1"/>
        <v>Centre for Theoretical Cosmology - (Cambridge) — Director/Founder</v>
      </c>
    </row>
    <row r="272" ht="15.75" customHeight="1">
      <c r="A272" s="21" t="s">
        <v>1587</v>
      </c>
      <c r="B272" s="21" t="s">
        <v>1592</v>
      </c>
      <c r="C272" s="21" t="s">
        <v>1562</v>
      </c>
      <c r="D272" s="21" t="str">
        <f t="shared" si="1"/>
        <v>Stephen Hawking Foundation - Co-founder (2015)</v>
      </c>
    </row>
    <row r="273" ht="15.75" customHeight="1">
      <c r="A273" s="21" t="s">
        <v>416</v>
      </c>
      <c r="B273" s="21" t="s">
        <v>1593</v>
      </c>
      <c r="C273" s="21" t="s">
        <v>1594</v>
      </c>
      <c r="D273" s="21" t="str">
        <f t="shared" si="1"/>
        <v>LinkedIn - Co-founder (2003)</v>
      </c>
    </row>
    <row r="274" ht="15.75" customHeight="1">
      <c r="A274" s="21" t="s">
        <v>416</v>
      </c>
      <c r="B274" s="21" t="s">
        <v>1595</v>
      </c>
      <c r="C274" s="21" t="s">
        <v>1596</v>
      </c>
      <c r="D274" s="21" t="str">
        <f t="shared" si="1"/>
        <v>Greylock Partners - Partner (since 2009)</v>
      </c>
    </row>
    <row r="275" ht="15.75" customHeight="1">
      <c r="A275" s="21" t="s">
        <v>416</v>
      </c>
      <c r="B275" s="21" t="s">
        <v>1597</v>
      </c>
      <c r="C275" s="21" t="s">
        <v>1598</v>
      </c>
      <c r="D275" s="21" t="str">
        <f t="shared" si="1"/>
        <v>PayPal - Former Executive Vice President; Founding Board Member</v>
      </c>
    </row>
    <row r="276" ht="15.75" customHeight="1">
      <c r="A276" s="21" t="s">
        <v>416</v>
      </c>
      <c r="B276" s="21" t="s">
        <v>1534</v>
      </c>
      <c r="C276" s="21" t="s">
        <v>1599</v>
      </c>
      <c r="D276" s="21" t="str">
        <f t="shared" si="1"/>
        <v>Microsoft - Board of Directors</v>
      </c>
    </row>
    <row r="277" ht="15.75" customHeight="1">
      <c r="A277" s="21" t="s">
        <v>416</v>
      </c>
      <c r="B277" s="21" t="s">
        <v>1600</v>
      </c>
      <c r="D277" s="21" t="str">
        <f t="shared" si="1"/>
        <v>Board Director: Aurora, Entrepreneur First, Inflection, Nauto</v>
      </c>
    </row>
    <row r="278" ht="15.75" customHeight="1">
      <c r="A278" s="21" t="s">
        <v>416</v>
      </c>
      <c r="B278" s="21" t="s">
        <v>1601</v>
      </c>
      <c r="C278" s="21" t="s">
        <v>1602</v>
      </c>
      <c r="D278" s="21" t="str">
        <f t="shared" si="1"/>
        <v>Non - profit boards: Kiva, Mozilla Corporation, Endeavor, Do Something</v>
      </c>
    </row>
    <row r="279" ht="15.75" customHeight="1">
      <c r="A279" s="21" t="s">
        <v>424</v>
      </c>
      <c r="B279" s="21" t="s">
        <v>1603</v>
      </c>
      <c r="C279" s="21" t="s">
        <v>1604</v>
      </c>
      <c r="D279" s="21" t="str">
        <f t="shared" si="1"/>
        <v>Museum of the Rockies - Former Curator of Paleontology (retired 2016); the museum's paleontology curator position is now named the "John R. Horner Curator of Paleontology" in his honor</v>
      </c>
    </row>
    <row r="280" ht="15.75" customHeight="1">
      <c r="A280" s="21" t="s">
        <v>424</v>
      </c>
      <c r="B280" s="21" t="s">
        <v>1605</v>
      </c>
      <c r="C280" s="21" t="s">
        <v>1606</v>
      </c>
      <c r="D280" s="21" t="str">
        <f t="shared" si="1"/>
        <v>Montana State University - Regents Professor of Paleontology (Emeritus)</v>
      </c>
    </row>
    <row r="281" ht="15.75" customHeight="1">
      <c r="A281" s="21" t="s">
        <v>424</v>
      </c>
      <c r="B281" s="21" t="s">
        <v>1607</v>
      </c>
      <c r="C281" s="21" t="s">
        <v>1608</v>
      </c>
      <c r="D281" s="21" t="str">
        <f t="shared" si="1"/>
        <v>Chapman University - Presidential Fellow (post-retirement role)</v>
      </c>
    </row>
    <row r="282" ht="15.75" customHeight="1">
      <c r="A282" s="21" t="s">
        <v>430</v>
      </c>
      <c r="B282" s="21" t="s">
        <v>1609</v>
      </c>
      <c r="C282" s="21" t="s">
        <v>1610</v>
      </c>
      <c r="D282" s="21" t="str">
        <f t="shared" si="1"/>
        <v>MIT Media Lab - Former Director (2011–2019; resigned over Epstein ties)</v>
      </c>
    </row>
    <row r="283" ht="15.75" customHeight="1">
      <c r="A283" s="21" t="s">
        <v>430</v>
      </c>
      <c r="B283" s="21" t="s">
        <v>1611</v>
      </c>
      <c r="C283" s="21" t="s">
        <v>1612</v>
      </c>
      <c r="D283" s="21" t="str">
        <f t="shared" si="1"/>
        <v>Neoteny Co., Ltd. - Founder &amp; CEO (venture capital firm, Tokyo; 1999–2015)</v>
      </c>
    </row>
    <row r="284" ht="15.75" customHeight="1">
      <c r="A284" s="21" t="s">
        <v>430</v>
      </c>
      <c r="B284" s="21" t="s">
        <v>1613</v>
      </c>
      <c r="C284" s="21" t="s">
        <v>1614</v>
      </c>
      <c r="D284" s="21" t="str">
        <f t="shared" si="1"/>
        <v>Neoteny Labs - General Partner (2009–present)</v>
      </c>
    </row>
    <row r="285" ht="15.75" customHeight="1">
      <c r="A285" s="21" t="s">
        <v>430</v>
      </c>
      <c r="B285" s="21" t="s">
        <v>1615</v>
      </c>
      <c r="C285" s="21" t="s">
        <v>1616</v>
      </c>
      <c r="D285" s="21" t="str">
        <f t="shared" si="1"/>
        <v>Digital Garage - Co-founder (one of Japan's first web companies)</v>
      </c>
    </row>
    <row r="286" ht="15.75" customHeight="1">
      <c r="A286" s="21" t="s">
        <v>430</v>
      </c>
      <c r="B286" s="21" t="s">
        <v>1617</v>
      </c>
      <c r="C286" s="21" t="s">
        <v>1618</v>
      </c>
      <c r="D286" s="21" t="str">
        <f t="shared" si="1"/>
        <v>Creative Commons - Former Board Chair and Chief Executive</v>
      </c>
    </row>
    <row r="287" ht="15.75" customHeight="1">
      <c r="A287" s="21" t="s">
        <v>430</v>
      </c>
      <c r="B287" s="21" t="s">
        <v>1619</v>
      </c>
      <c r="C287" s="21" t="s">
        <v>1620</v>
      </c>
      <c r="D287" s="21" t="str">
        <f t="shared" si="1"/>
        <v>Gelephu Investment and Development Corporation (GIDC), Bhutan - Board Chair (2024–present)</v>
      </c>
    </row>
    <row r="288" ht="15.75" customHeight="1">
      <c r="A288" s="21" t="s">
        <v>430</v>
      </c>
      <c r="B288" s="21" t="s">
        <v>1621</v>
      </c>
      <c r="C288" s="21" t="s">
        <v>1622</v>
      </c>
      <c r="D288" s="21" t="str">
        <f t="shared" si="1"/>
        <v>Gelephu Mindfulness City, Bhutan - Board Member (2024–present)</v>
      </c>
    </row>
    <row r="289" ht="15.75" customHeight="1">
      <c r="A289" s="21" t="s">
        <v>430</v>
      </c>
      <c r="B289" s="21" t="s">
        <v>1623</v>
      </c>
      <c r="C289" s="21" t="s">
        <v>1624</v>
      </c>
      <c r="D289" s="21" t="str">
        <f t="shared" si="1"/>
        <v>Happiness Capital (Hong Kong) - Non-Executive Board Chair (2022–present)</v>
      </c>
    </row>
    <row r="290" ht="15.75" customHeight="1">
      <c r="A290" s="21" t="s">
        <v>430</v>
      </c>
      <c r="B290" s="21" t="s">
        <v>1625</v>
      </c>
      <c r="C290" s="21" t="s">
        <v>1626</v>
      </c>
      <c r="D290" s="21" t="str">
        <f t="shared" si="1"/>
        <v>gmjp (web3 fund) - Director (2022–present)</v>
      </c>
    </row>
    <row r="291" ht="15.75" customHeight="1">
      <c r="A291" s="21" t="s">
        <v>430</v>
      </c>
      <c r="B291" s="21" t="s">
        <v>1627</v>
      </c>
      <c r="C291" s="21" t="s">
        <v>1628</v>
      </c>
      <c r="D291" s="21" t="str">
        <f t="shared" si="1"/>
        <v>Chiba Institute of Technology - President</v>
      </c>
    </row>
    <row r="292" ht="15.75" customHeight="1">
      <c r="A292" s="21" t="s">
        <v>430</v>
      </c>
      <c r="B292" s="21" t="s">
        <v>1629</v>
      </c>
      <c r="C292" s="21" t="s">
        <v>1630</v>
      </c>
      <c r="D292" s="21" t="str">
        <f t="shared" si="1"/>
        <v>Artificial Intelligence Development Council, Republic of Kazakhstan - Member (2025–present)</v>
      </c>
    </row>
    <row r="293" ht="15.75" customHeight="1">
      <c r="A293" s="21" t="s">
        <v>430</v>
      </c>
      <c r="B293" s="21" t="s">
        <v>1631</v>
      </c>
      <c r="C293" s="21" t="s">
        <v>1632</v>
      </c>
      <c r="D293" s="21" t="str">
        <f t="shared" si="1"/>
        <v>Former board memberships: - The New York Times Company (2012–2019), Sony Corporation (2013–2017), MacArthur Foundation (2012–2019), Knight Foundation (2011–2019), Japan Society, ICANN, Mozilla Foundation, Akili Interactive Labs, Oblong Industries, PureTech Health (former Chairman), Safecast (co-founder)</v>
      </c>
    </row>
    <row r="294" ht="15.75" customHeight="1">
      <c r="A294" s="21" t="s">
        <v>430</v>
      </c>
      <c r="B294" s="21" t="s">
        <v>1633</v>
      </c>
      <c r="C294" s="21" t="s">
        <v>1634</v>
      </c>
      <c r="D294" s="21" t="str">
        <f t="shared" si="1"/>
        <v>Early - stage investor in: Twitter, Kickstarter, Flickr, Formlabs, littleBits</v>
      </c>
    </row>
    <row r="295" ht="15.75" customHeight="1">
      <c r="A295" s="21" t="s">
        <v>1635</v>
      </c>
      <c r="B295" s="21" t="s">
        <v>1636</v>
      </c>
      <c r="C295" s="21" t="s">
        <v>1637</v>
      </c>
      <c r="D295" s="21" t="str">
        <f t="shared" si="1"/>
        <v>MJJ Productions LLC - Founder (intellectual property, music)</v>
      </c>
    </row>
    <row r="296" ht="15.75" customHeight="1">
      <c r="A296" s="21" t="s">
        <v>1635</v>
      </c>
      <c r="B296" s="21" t="s">
        <v>1638</v>
      </c>
      <c r="C296" s="21" t="s">
        <v>1639</v>
      </c>
      <c r="D296" s="21" t="str">
        <f t="shared" si="1"/>
        <v>MJJ Ventures Inc. - Founder (video/film-related projects)</v>
      </c>
    </row>
    <row r="297" ht="15.75" customHeight="1">
      <c r="A297" s="21" t="s">
        <v>1635</v>
      </c>
      <c r="B297" s="21" t="s">
        <v>1640</v>
      </c>
      <c r="C297" s="21" t="s">
        <v>1641</v>
      </c>
      <c r="D297" s="21" t="str">
        <f t="shared" si="1"/>
        <v>The Michael Jackson Company LLC - Established as centerpiece of his re-organized empire</v>
      </c>
    </row>
    <row r="298" ht="15.75" customHeight="1">
      <c r="A298" s="21" t="s">
        <v>1635</v>
      </c>
      <c r="B298" s="21" t="s">
        <v>1642</v>
      </c>
      <c r="C298" s="21" t="s">
        <v>1643</v>
      </c>
      <c r="D298" s="21" t="str">
        <f t="shared" si="1"/>
        <v>Triumph International Inc. - Founder (intellectual property, trademarks)</v>
      </c>
    </row>
    <row r="299" ht="15.75" customHeight="1">
      <c r="A299" s="21" t="s">
        <v>1635</v>
      </c>
      <c r="B299" s="21" t="s">
        <v>1644</v>
      </c>
      <c r="C299" s="21" t="s">
        <v>1645</v>
      </c>
      <c r="D299" s="21" t="str">
        <f t="shared" si="1"/>
        <v>Optimum Productions Inc. - Founder (video releases)</v>
      </c>
    </row>
    <row r="300" ht="15.75" customHeight="1">
      <c r="A300" s="21" t="s">
        <v>1635</v>
      </c>
      <c r="B300" s="21" t="s">
        <v>1646</v>
      </c>
      <c r="C300" s="21" t="s">
        <v>1647</v>
      </c>
      <c r="D300" s="21" t="str">
        <f t="shared" si="1"/>
        <v>MJJ Records LLC / MJJ Music - 50% ownership joint venture with Sony</v>
      </c>
    </row>
    <row r="301" ht="15.75" customHeight="1">
      <c r="A301" s="21" t="s">
        <v>1635</v>
      </c>
      <c r="B301" s="21" t="s">
        <v>1648</v>
      </c>
      <c r="C301" s="21" t="s">
        <v>1649</v>
      </c>
      <c r="D301" s="21" t="str">
        <f t="shared" si="1"/>
        <v>Sycamore Valley Ranch Co. LLC - 87.5% ownership (Neverland Ranch)</v>
      </c>
    </row>
    <row r="302" ht="15.75" customHeight="1">
      <c r="A302" s="21" t="s">
        <v>1635</v>
      </c>
      <c r="B302" s="21" t="s">
        <v>1650</v>
      </c>
      <c r="C302" s="21" t="s">
        <v>1651</v>
      </c>
      <c r="D302" s="21" t="str">
        <f t="shared" si="1"/>
        <v>Mijac Music - Music publishing catalog (now part of estate)</v>
      </c>
    </row>
    <row r="303" ht="15.75" customHeight="1">
      <c r="A303" s="21" t="s">
        <v>1635</v>
      </c>
      <c r="B303" s="21" t="s">
        <v>1652</v>
      </c>
      <c r="C303" s="21" t="s">
        <v>1653</v>
      </c>
      <c r="D303" s="21" t="str">
        <f t="shared" si="1"/>
        <v>Estate of Michael Jackson - Managed by co-executors John Branca and John McClain</v>
      </c>
    </row>
    <row r="304" ht="15.75" customHeight="1">
      <c r="A304" s="21" t="s">
        <v>438</v>
      </c>
      <c r="B304" s="21" t="s">
        <v>1654</v>
      </c>
      <c r="C304" s="21" t="s">
        <v>1655</v>
      </c>
      <c r="D304" s="21" t="str">
        <f t="shared" si="1"/>
        <v>Council of Europe - Former Secretary General (2009–2019)</v>
      </c>
    </row>
    <row r="305" ht="15.75" customHeight="1">
      <c r="A305" s="21" t="s">
        <v>438</v>
      </c>
      <c r="B305" s="21" t="s">
        <v>1656</v>
      </c>
      <c r="C305" s="21" t="s">
        <v>1657</v>
      </c>
      <c r="D305" s="21" t="str">
        <f t="shared" si="1"/>
        <v>Norwegian Nobel Committee - Former Chairman (2009–2015)</v>
      </c>
    </row>
    <row r="306" ht="15.75" customHeight="1">
      <c r="A306" s="21" t="s">
        <v>438</v>
      </c>
      <c r="B306" s="21" t="s">
        <v>1658</v>
      </c>
      <c r="C306" s="21" t="s">
        <v>1659</v>
      </c>
      <c r="D306" s="21" t="str">
        <f t="shared" si="1"/>
        <v>Norwegian Labour Party - Former leader; served as Prime Minister of Norway (1996–1997)</v>
      </c>
    </row>
    <row r="307" ht="15.75" customHeight="1">
      <c r="A307" s="21" t="s">
        <v>438</v>
      </c>
      <c r="B307" s="21" t="s">
        <v>1660</v>
      </c>
      <c r="C307" s="21" t="s">
        <v>1661</v>
      </c>
      <c r="D307" s="21" t="str">
        <f t="shared" si="1"/>
        <v>Storting (Norwegian Parliament) - Former President (2005–2009)</v>
      </c>
    </row>
    <row r="308" ht="15.75" customHeight="1">
      <c r="A308" s="21" t="s">
        <v>438</v>
      </c>
      <c r="B308" s="21" t="s">
        <v>1662</v>
      </c>
      <c r="C308" s="21" t="s">
        <v>1663</v>
      </c>
      <c r="D308" s="21" t="str">
        <f t="shared" si="1"/>
        <v>Ministry of Foreign Affairs (Norway) - Former Minister of Foreign Affairs (2000–2001)</v>
      </c>
    </row>
    <row r="309" ht="15.75" customHeight="1">
      <c r="A309" s="21" t="s">
        <v>1128</v>
      </c>
      <c r="B309" s="21" t="s">
        <v>1664</v>
      </c>
      <c r="C309" s="21" t="s">
        <v>1665</v>
      </c>
      <c r="D309" s="21" t="str">
        <f t="shared" si="1"/>
        <v>Roc Nation - Founder &amp; CEO (entertainment/sports management company)</v>
      </c>
    </row>
    <row r="310" ht="15.75" customHeight="1">
      <c r="A310" s="21" t="s">
        <v>1128</v>
      </c>
      <c r="B310" s="21" t="s">
        <v>1666</v>
      </c>
      <c r="C310" s="21" t="s">
        <v>1667</v>
      </c>
      <c r="D310" s="21" t="str">
        <f t="shared" si="1"/>
        <v>Marcy Venture Partners - Co-founder (venture capital fund)</v>
      </c>
    </row>
    <row r="311" ht="15.75" customHeight="1">
      <c r="A311" s="21" t="s">
        <v>1128</v>
      </c>
      <c r="B311" s="21" t="s">
        <v>1668</v>
      </c>
      <c r="C311" s="21" t="s">
        <v>1669</v>
      </c>
      <c r="D311" s="21" t="str">
        <f t="shared" si="1"/>
        <v>Roc-A-Fella Records - Co-founder (with Damon Dash and Kareem Burke)</v>
      </c>
    </row>
    <row r="312" ht="15.75" customHeight="1">
      <c r="A312" s="21" t="s">
        <v>1128</v>
      </c>
      <c r="B312" s="21" t="s">
        <v>1670</v>
      </c>
      <c r="C312" s="21" t="s">
        <v>1671</v>
      </c>
      <c r="D312" s="21" t="str">
        <f t="shared" si="1"/>
        <v>Rocawear - Co-founder (clothing line; sold to Iconix Brand Group in 2007)</v>
      </c>
    </row>
    <row r="313" ht="15.75" customHeight="1">
      <c r="A313" s="21" t="s">
        <v>1128</v>
      </c>
      <c r="B313" s="21" t="s">
        <v>1672</v>
      </c>
      <c r="C313" s="21" t="s">
        <v>1673</v>
      </c>
      <c r="D313" s="21" t="str">
        <f t="shared" si="1"/>
        <v>Tidal - Former majority owner (music streaming; sold to Square/Block in 2021)</v>
      </c>
    </row>
    <row r="314" ht="15.75" customHeight="1">
      <c r="A314" s="21" t="s">
        <v>1128</v>
      </c>
      <c r="B314" s="21" t="s">
        <v>1674</v>
      </c>
      <c r="C314" s="21" t="s">
        <v>1675</v>
      </c>
      <c r="D314" s="21" t="str">
        <f t="shared" si="1"/>
        <v>Armand de Brignac (Ace of Spades) - Former owner (champagne brand; sold 50% to LVMH in 2021)</v>
      </c>
    </row>
    <row r="315" ht="15.75" customHeight="1">
      <c r="A315" s="21" t="s">
        <v>1128</v>
      </c>
      <c r="B315" s="21" t="s">
        <v>1676</v>
      </c>
      <c r="C315" s="21" t="s">
        <v>1677</v>
      </c>
      <c r="D315" s="21" t="str">
        <f t="shared" si="1"/>
        <v>D'Ussé - Co-brand owner with Bacardi (cognac)</v>
      </c>
    </row>
    <row r="316" ht="15.75" customHeight="1">
      <c r="A316" s="21" t="s">
        <v>1128</v>
      </c>
      <c r="B316" s="21" t="s">
        <v>1678</v>
      </c>
      <c r="C316" s="21" t="s">
        <v>1679</v>
      </c>
      <c r="D316" s="21" t="str">
        <f t="shared" si="1"/>
        <v>Shawn Carter Foundation - Co-founder (scholarship non-profit)</v>
      </c>
    </row>
    <row r="317" ht="15.75" customHeight="1">
      <c r="A317" s="21" t="s">
        <v>1128</v>
      </c>
      <c r="B317" s="21" t="s">
        <v>1680</v>
      </c>
      <c r="C317" s="21" t="s">
        <v>1681</v>
      </c>
      <c r="D317" s="21" t="str">
        <f t="shared" si="1"/>
        <v>Team Roc - Social justice initiative within Roc Nation</v>
      </c>
    </row>
    <row r="318" ht="15.75" customHeight="1">
      <c r="A318" s="21" t="s">
        <v>1128</v>
      </c>
      <c r="B318" s="21" t="s">
        <v>1682</v>
      </c>
      <c r="D318" s="21" t="str">
        <f t="shared" si="1"/>
        <v>Early investor in Uber (Series B, 2011) and JetSmarter</v>
      </c>
    </row>
    <row r="319" ht="15.75" customHeight="1">
      <c r="A319" s="21" t="s">
        <v>331</v>
      </c>
      <c r="B319" s="21" t="s">
        <v>1683</v>
      </c>
      <c r="C319" s="21" t="s">
        <v>1684</v>
      </c>
      <c r="D319" s="21" t="str">
        <f t="shared" si="1"/>
        <v>U.S. Virgin Islands - Former Governor (2007–2015)</v>
      </c>
    </row>
    <row r="320" ht="15.75" customHeight="1">
      <c r="A320" s="21" t="s">
        <v>331</v>
      </c>
      <c r="B320" s="21" t="s">
        <v>1685</v>
      </c>
      <c r="C320" s="21" t="s">
        <v>1686</v>
      </c>
      <c r="D320" s="21" t="str">
        <f t="shared" si="1"/>
        <v>Government of the U.S. Virgin Islands - Chief executive during tenure</v>
      </c>
    </row>
    <row r="321" ht="15.75" customHeight="1">
      <c r="A321" s="21" t="s">
        <v>446</v>
      </c>
      <c r="B321" s="21" t="s">
        <v>1687</v>
      </c>
      <c r="C321" s="21" t="s">
        <v>1688</v>
      </c>
      <c r="D321" s="21" t="str">
        <f t="shared" si="1"/>
        <v>NJF Holdings - Founder (international finance and investment company)</v>
      </c>
    </row>
    <row r="322" ht="15.75" customHeight="1">
      <c r="A322" s="21" t="s">
        <v>446</v>
      </c>
      <c r="B322" s="21" t="s">
        <v>1689</v>
      </c>
      <c r="C322" s="21" t="s">
        <v>1690</v>
      </c>
      <c r="D322" s="21" t="str">
        <f t="shared" si="1"/>
        <v>NJF Capital - Founder (venture capital arm of NJF Holdings, investing in deep-tech, fintech, healthcare)</v>
      </c>
    </row>
    <row r="323" ht="15.75" customHeight="1">
      <c r="A323" s="21" t="s">
        <v>446</v>
      </c>
      <c r="B323" s="21" t="s">
        <v>1691</v>
      </c>
      <c r="C323" s="21" t="s">
        <v>1692</v>
      </c>
      <c r="D323" s="21" t="str">
        <f t="shared" si="1"/>
        <v>Infront Sports &amp; Media - Former Vice Chairman and major investor; helped build and sell to Bridgepoint Capital (2011)</v>
      </c>
    </row>
    <row r="324" ht="15.75" customHeight="1">
      <c r="A324" s="21" t="s">
        <v>446</v>
      </c>
      <c r="B324" s="21" t="s">
        <v>1693</v>
      </c>
      <c r="C324" s="21" t="s">
        <v>1694</v>
      </c>
      <c r="D324" s="21" t="str">
        <f t="shared" si="1"/>
        <v>United in Sports - Founder (private equity fund focused on sports/media, ~€250M)</v>
      </c>
    </row>
    <row r="325" ht="15.75" customHeight="1">
      <c r="A325" s="21" t="s">
        <v>446</v>
      </c>
      <c r="B325" s="21" t="s">
        <v>1695</v>
      </c>
      <c r="C325" s="21" t="s">
        <v>1696</v>
      </c>
      <c r="D325" s="21" t="str">
        <f t="shared" si="1"/>
        <v>Shanghai Really Sports - Former investor</v>
      </c>
    </row>
    <row r="326" ht="15.75" customHeight="1">
      <c r="A326" s="21" t="s">
        <v>446</v>
      </c>
      <c r="B326" s="21" t="s">
        <v>1697</v>
      </c>
      <c r="D326" s="21" t="str">
        <f t="shared" si="1"/>
        <v>Portfolio investments include: OWKIN, Deep Genomics, Bolt, Songza (acquired by Google), Dollar Shave Club (acquired by Unilever), RelateIQ (acquired by Salesforce)</v>
      </c>
    </row>
    <row r="327" ht="15.75" customHeight="1">
      <c r="A327" s="21" t="s">
        <v>454</v>
      </c>
      <c r="B327" s="21" t="s">
        <v>1662</v>
      </c>
      <c r="C327" s="21" t="s">
        <v>1698</v>
      </c>
      <c r="D327" s="21" t="str">
        <f t="shared" si="1"/>
        <v>Ministry of Foreign Affairs (Norway) - Career diplomat</v>
      </c>
    </row>
    <row r="328" ht="15.75" customHeight="1">
      <c r="A328" s="21" t="s">
        <v>454</v>
      </c>
      <c r="B328" s="21" t="s">
        <v>1699</v>
      </c>
      <c r="C328" s="21" t="s">
        <v>1700</v>
      </c>
      <c r="D328" s="21" t="str">
        <f t="shared" si="1"/>
        <v>Permanent Mission of Norway to the United Nations - Former Permanent Representative (2019–2023)</v>
      </c>
    </row>
    <row r="329" ht="15.75" customHeight="1">
      <c r="A329" s="21" t="s">
        <v>454</v>
      </c>
      <c r="B329" s="21" t="s">
        <v>1701</v>
      </c>
      <c r="C329" s="21" t="s">
        <v>1702</v>
      </c>
      <c r="D329" s="21" t="str">
        <f t="shared" si="1"/>
        <v>Norwegian Embassy to the United Kingdom - Former Ambassador (2014–2018)</v>
      </c>
    </row>
    <row r="330" ht="15.75" customHeight="1">
      <c r="A330" s="21" t="s">
        <v>454</v>
      </c>
      <c r="B330" s="21" t="s">
        <v>1703</v>
      </c>
      <c r="C330" s="21" t="s">
        <v>1704</v>
      </c>
      <c r="D330" s="21" t="str">
        <f t="shared" si="1"/>
        <v>Norwegian Embassy to Israel - Former Ambassador (2001–2004)</v>
      </c>
    </row>
    <row r="331" ht="15.75" customHeight="1">
      <c r="A331" s="21" t="s">
        <v>454</v>
      </c>
      <c r="B331" s="21" t="s">
        <v>1705</v>
      </c>
      <c r="D331" s="21" t="str">
        <f t="shared" si="1"/>
        <v>Role in the secret negotiations that produced the Oslo Accords between Israel and the PLO</v>
      </c>
    </row>
    <row r="332" ht="15.75" customHeight="1">
      <c r="A332" s="21" t="s">
        <v>462</v>
      </c>
      <c r="B332" s="21" t="s">
        <v>1706</v>
      </c>
      <c r="C332" s="21" t="s">
        <v>1707</v>
      </c>
      <c r="D332" s="21" t="str">
        <f t="shared" si="1"/>
        <v>DEKA Research &amp; Development Corporation - Founder &amp; President (1982–present)</v>
      </c>
    </row>
    <row r="333" ht="15.75" customHeight="1">
      <c r="A333" s="21" t="s">
        <v>462</v>
      </c>
      <c r="B333" s="21" t="s">
        <v>1708</v>
      </c>
      <c r="C333" s="21" t="s">
        <v>1709</v>
      </c>
      <c r="D333" s="21" t="str">
        <f t="shared" si="1"/>
        <v>FIRST (For Inspiration and Recognition of Science and Technology) - Founder (1989)</v>
      </c>
    </row>
    <row r="334" ht="15.75" customHeight="1">
      <c r="A334" s="21" t="s">
        <v>462</v>
      </c>
      <c r="B334" s="21" t="s">
        <v>1710</v>
      </c>
      <c r="C334" s="21" t="s">
        <v>1188</v>
      </c>
      <c r="D334" s="21" t="str">
        <f t="shared" si="1"/>
        <v>FIRST Global - Founder</v>
      </c>
    </row>
    <row r="335" ht="15.75" customHeight="1">
      <c r="A335" s="21" t="s">
        <v>462</v>
      </c>
      <c r="B335" s="21" t="s">
        <v>1711</v>
      </c>
      <c r="C335" s="21" t="s">
        <v>1188</v>
      </c>
      <c r="D335" s="21" t="str">
        <f t="shared" si="1"/>
        <v>Advanced Regenerative Manufacturing Institute (ARMI) / BioFabUSA - Founder</v>
      </c>
    </row>
    <row r="336" ht="15.75" customHeight="1">
      <c r="A336" s="21" t="s">
        <v>462</v>
      </c>
      <c r="B336" s="21" t="s">
        <v>1712</v>
      </c>
      <c r="C336" s="21" t="s">
        <v>1713</v>
      </c>
      <c r="D336" s="21" t="str">
        <f t="shared" si="1"/>
        <v>AutoSyringe, Inc. - Founder (sold to Baxter Healthcare)</v>
      </c>
    </row>
    <row r="337" ht="15.75" customHeight="1">
      <c r="A337" s="21" t="s">
        <v>462</v>
      </c>
      <c r="B337" s="21" t="s">
        <v>1714</v>
      </c>
      <c r="D337" s="21" t="str">
        <f t="shared" si="1"/>
        <v>Inventor of the Segway and iBOT mobility system</v>
      </c>
    </row>
    <row r="338" ht="15.75" customHeight="1">
      <c r="A338" s="21" t="s">
        <v>469</v>
      </c>
      <c r="B338" s="21" t="s">
        <v>1715</v>
      </c>
      <c r="C338" s="21" t="s">
        <v>1716</v>
      </c>
      <c r="D338" s="21" t="str">
        <f t="shared" si="1"/>
        <v>Paul, Weiss, Rifkind, Wharton &amp; Garrison LLP - Chairman (since 2008)</v>
      </c>
    </row>
    <row r="339" ht="15.75" customHeight="1">
      <c r="A339" s="21" t="s">
        <v>469</v>
      </c>
      <c r="B339" s="21" t="s">
        <v>1717</v>
      </c>
      <c r="C339" s="21" t="s">
        <v>1143</v>
      </c>
      <c r="D339" s="21" t="str">
        <f t="shared" si="1"/>
        <v>Legal Action Center - Chairman</v>
      </c>
    </row>
    <row r="340" ht="15.75" customHeight="1">
      <c r="A340" s="21" t="s">
        <v>469</v>
      </c>
      <c r="B340" s="21" t="s">
        <v>1718</v>
      </c>
      <c r="C340" s="21" t="s">
        <v>1719</v>
      </c>
      <c r="D340" s="21" t="str">
        <f t="shared" si="1"/>
        <v>Continental Grain Company - Director (Chair, Audit and Risk Committee)</v>
      </c>
    </row>
    <row r="341" ht="15.75" customHeight="1">
      <c r="A341" s="21" t="s">
        <v>469</v>
      </c>
      <c r="B341" s="21" t="s">
        <v>1720</v>
      </c>
      <c r="C341" s="21" t="s">
        <v>1721</v>
      </c>
      <c r="D341" s="21" t="str">
        <f t="shared" si="1"/>
        <v>Board/Trustee roles: Mount Sinai Hospital, New York - Presbyterian Hospital, Lincoln Center for the Performing Arts, Partnership for New York City, Paley Center for Media, Junior Achievement Worldwide, Union College, Jewish Museum, Cold Spring Harbor Laboratory, Whitney Museum, and 40+ other public interest and educational boards</v>
      </c>
    </row>
    <row r="342" ht="15.75" customHeight="1">
      <c r="A342" s="21" t="s">
        <v>477</v>
      </c>
      <c r="B342" s="21" t="s">
        <v>1722</v>
      </c>
      <c r="C342" s="21" t="s">
        <v>1723</v>
      </c>
      <c r="D342" s="21" t="str">
        <f t="shared" si="1"/>
        <v>U.S. Department of Health and Human Services - Secretary (nominated by President Trump)</v>
      </c>
    </row>
    <row r="343" ht="15.75" customHeight="1">
      <c r="A343" s="21" t="s">
        <v>477</v>
      </c>
      <c r="B343" s="21" t="s">
        <v>1724</v>
      </c>
      <c r="C343" s="21" t="s">
        <v>1725</v>
      </c>
      <c r="D343" s="21" t="str">
        <f t="shared" si="1"/>
        <v>Children's Health Defense - Founder &amp; former Chairman/Chief Litigation Counsel</v>
      </c>
    </row>
    <row r="344" ht="15.75" customHeight="1">
      <c r="A344" s="21" t="s">
        <v>477</v>
      </c>
      <c r="B344" s="21" t="s">
        <v>1726</v>
      </c>
      <c r="C344" s="21" t="s">
        <v>1727</v>
      </c>
      <c r="D344" s="21" t="str">
        <f t="shared" si="1"/>
        <v>Waterkeeper Alliance - Co-founder &amp; former President</v>
      </c>
    </row>
    <row r="345" ht="15.75" customHeight="1">
      <c r="A345" s="21" t="s">
        <v>477</v>
      </c>
      <c r="B345" s="21" t="s">
        <v>1728</v>
      </c>
      <c r="C345" s="21" t="s">
        <v>1729</v>
      </c>
      <c r="D345" s="21" t="str">
        <f t="shared" si="1"/>
        <v>Kennedy &amp; Madonna LLP - Co-founder (environmental law firm)</v>
      </c>
    </row>
    <row r="346" ht="15.75" customHeight="1">
      <c r="A346" s="21" t="s">
        <v>477</v>
      </c>
      <c r="B346" s="21" t="s">
        <v>1730</v>
      </c>
      <c r="C346" s="21" t="s">
        <v>1731</v>
      </c>
      <c r="D346" s="21" t="str">
        <f t="shared" si="1"/>
        <v>Keeper Springs - Co-founder (bottled water company)</v>
      </c>
    </row>
    <row r="347" ht="15.75" customHeight="1">
      <c r="A347" s="21" t="s">
        <v>477</v>
      </c>
      <c r="B347" s="21" t="s">
        <v>1732</v>
      </c>
      <c r="C347" s="21" t="s">
        <v>1733</v>
      </c>
      <c r="D347" s="21" t="str">
        <f t="shared" si="1"/>
        <v>VantagePoint Capital Partners - Former Venture Partner/Senior Advisor</v>
      </c>
    </row>
    <row r="348" ht="15.75" customHeight="1">
      <c r="A348" s="21" t="s">
        <v>477</v>
      </c>
      <c r="B348" s="21" t="s">
        <v>1734</v>
      </c>
      <c r="D348" s="21" t="str">
        <f t="shared" si="1"/>
        <v>Former board/advisory roles with various environmental and health organizations</v>
      </c>
    </row>
    <row r="349" ht="15.75" customHeight="1">
      <c r="A349" s="21" t="s">
        <v>485</v>
      </c>
      <c r="B349" s="21" t="s">
        <v>1735</v>
      </c>
      <c r="C349" s="21" t="s">
        <v>1736</v>
      </c>
      <c r="D349" s="21" t="str">
        <f t="shared" si="1"/>
        <v>Jeff Koons, LLC - Founder (fine art studio, New York)</v>
      </c>
    </row>
    <row r="350" ht="15.75" customHeight="1">
      <c r="A350" s="21" t="s">
        <v>485</v>
      </c>
      <c r="B350" s="21" t="s">
        <v>1737</v>
      </c>
      <c r="C350" s="21" t="s">
        <v>1738</v>
      </c>
      <c r="D350" s="21" t="str">
        <f t="shared" si="1"/>
        <v>Antiquity Stone / Advanced Stone Technologies - Owner (stone fabrication facility, Pennsylvania; acquired 2012)</v>
      </c>
    </row>
    <row r="351" ht="15.75" customHeight="1">
      <c r="A351" s="21" t="s">
        <v>492</v>
      </c>
      <c r="B351" s="21" t="s">
        <v>1739</v>
      </c>
      <c r="C351" s="21" t="s">
        <v>1740</v>
      </c>
      <c r="D351" s="21" t="str">
        <f t="shared" si="1"/>
        <v>Active Learning Sciences, Inc. - Founder, President &amp; CEO</v>
      </c>
    </row>
    <row r="352" ht="15.75" customHeight="1">
      <c r="A352" s="21" t="s">
        <v>492</v>
      </c>
      <c r="B352" s="21" t="s">
        <v>1741</v>
      </c>
      <c r="C352" s="21" t="s">
        <v>1742</v>
      </c>
      <c r="D352" s="21" t="str">
        <f t="shared" si="1"/>
        <v>Minerva University (Minerva Schools) - Founding Dean &amp; Chief Academic Officer (left 2018)</v>
      </c>
    </row>
    <row r="353" ht="15.75" customHeight="1">
      <c r="A353" s="21" t="s">
        <v>492</v>
      </c>
      <c r="B353" s="21" t="s">
        <v>1743</v>
      </c>
      <c r="C353" s="21" t="s">
        <v>1744</v>
      </c>
      <c r="D353" s="21" t="str">
        <f t="shared" si="1"/>
        <v>Foundry College - Founder &amp; Chief Academic Officer (online two-year college)</v>
      </c>
    </row>
    <row r="354" ht="15.75" customHeight="1">
      <c r="A354" s="21" t="s">
        <v>492</v>
      </c>
      <c r="B354" s="21" t="s">
        <v>1745</v>
      </c>
      <c r="D354" s="21" t="str">
        <f t="shared" si="1"/>
        <v>Former Director, Center for Advanced Study in the Behavioral Sciences (Stanford)</v>
      </c>
    </row>
    <row r="355" ht="15.75" customHeight="1">
      <c r="A355" s="21" t="s">
        <v>500</v>
      </c>
      <c r="B355" s="22" t="s">
        <v>1746</v>
      </c>
      <c r="C355" s="21" t="s">
        <v>1747</v>
      </c>
      <c r="D355" s="21" t="str">
        <f t="shared" si="1"/>
        <v>Activision (later Activision Blizzard) - Former CEO (1991–2023; retired after Microsoft acquisition)</v>
      </c>
    </row>
    <row r="356" ht="15.75" customHeight="1">
      <c r="A356" s="21" t="s">
        <v>500</v>
      </c>
      <c r="B356" s="21" t="s">
        <v>1748</v>
      </c>
      <c r="C356" s="21" t="s">
        <v>1749</v>
      </c>
      <c r="D356" s="21" t="str">
        <f t="shared" si="1"/>
        <v>Call of Duty Endowment - Co-founder &amp; Co-Chairman (veterans' nonprofit)</v>
      </c>
    </row>
    <row r="357" ht="15.75" customHeight="1">
      <c r="A357" s="21" t="s">
        <v>500</v>
      </c>
      <c r="B357" s="21" t="s">
        <v>1750</v>
      </c>
      <c r="C357" s="21" t="s">
        <v>1751</v>
      </c>
      <c r="D357" s="21" t="str">
        <f t="shared" si="1"/>
        <v>Leisure Concepts - Former CEO</v>
      </c>
    </row>
    <row r="358" ht="15.75" customHeight="1">
      <c r="A358" s="21" t="s">
        <v>500</v>
      </c>
      <c r="B358" s="21" t="s">
        <v>1752</v>
      </c>
      <c r="C358" s="21" t="s">
        <v>1753</v>
      </c>
      <c r="D358" s="21" t="str">
        <f t="shared" si="1"/>
        <v>Berggruen Institute - Board member</v>
      </c>
    </row>
    <row r="359" ht="15.75" customHeight="1">
      <c r="A359" s="21" t="s">
        <v>508</v>
      </c>
      <c r="B359" s="21" t="s">
        <v>1754</v>
      </c>
      <c r="C359" s="21" t="s">
        <v>1755</v>
      </c>
      <c r="D359" s="21" t="str">
        <f t="shared" si="1"/>
        <v>Origins Project (ASU) - Founder &amp; Former Director (2008–2018)</v>
      </c>
    </row>
    <row r="360" ht="15.75" customHeight="1">
      <c r="A360" s="21" t="s">
        <v>508</v>
      </c>
      <c r="B360" s="21" t="s">
        <v>1756</v>
      </c>
      <c r="D360" s="21" t="str">
        <f t="shared" si="1"/>
        <v>Former Foundation Professor, Arizona State University School of Earth and Space Exploration</v>
      </c>
    </row>
    <row r="361" ht="15.75" customHeight="1">
      <c r="A361" s="21" t="s">
        <v>508</v>
      </c>
      <c r="B361" s="21" t="s">
        <v>1757</v>
      </c>
      <c r="D361" s="21" t="str">
        <f t="shared" si="1"/>
        <v>Author and public intellectual in theoretical physics</v>
      </c>
    </row>
    <row r="362" ht="15.75" customHeight="1">
      <c r="A362" s="21" t="s">
        <v>516</v>
      </c>
      <c r="B362" s="21" t="s">
        <v>1758</v>
      </c>
      <c r="C362" s="21" t="s">
        <v>1759</v>
      </c>
      <c r="D362" s="21" t="str">
        <f t="shared" si="1"/>
        <v>Ministry of Foreign Affairs, Slovak Republic - Former Minister (2009–2010, 2012–2020)</v>
      </c>
    </row>
    <row r="363" ht="15.75" customHeight="1">
      <c r="A363" s="21" t="s">
        <v>516</v>
      </c>
      <c r="B363" s="21" t="s">
        <v>1760</v>
      </c>
      <c r="C363" s="21" t="s">
        <v>1761</v>
      </c>
      <c r="D363" s="21" t="str">
        <f t="shared" si="1"/>
        <v>United Nations General Assembly (72nd Session) - Former President (2017–2018)</v>
      </c>
    </row>
    <row r="364" ht="15.75" customHeight="1">
      <c r="A364" s="21" t="s">
        <v>516</v>
      </c>
      <c r="B364" s="21" t="s">
        <v>1762</v>
      </c>
      <c r="C364" s="21" t="s">
        <v>1763</v>
      </c>
      <c r="D364" s="21" t="str">
        <f t="shared" si="1"/>
        <v>International Community in Bosnia and Herzegovina - Former High Representative / EU Special Representative (2007–2009)</v>
      </c>
    </row>
    <row r="365" ht="15.75" customHeight="1">
      <c r="A365" s="21" t="s">
        <v>516</v>
      </c>
      <c r="B365" s="21" t="s">
        <v>1764</v>
      </c>
      <c r="C365" s="21" t="s">
        <v>1765</v>
      </c>
      <c r="D365" s="21" t="str">
        <f t="shared" si="1"/>
        <v>OSCE - Former Chairperson-in-Office (2019)</v>
      </c>
    </row>
    <row r="366" ht="15.75" customHeight="1">
      <c r="A366" s="21" t="s">
        <v>516</v>
      </c>
      <c r="B366" s="21" t="s">
        <v>1766</v>
      </c>
      <c r="C366" s="21" t="s">
        <v>1767</v>
      </c>
      <c r="D366" s="21" t="str">
        <f t="shared" si="1"/>
        <v>European External Action Service - First Managing Director for Europe &amp; Central Asia (2010–2012)</v>
      </c>
    </row>
    <row r="367" ht="15.75" customHeight="1">
      <c r="A367" s="21" t="s">
        <v>516</v>
      </c>
      <c r="B367" s="21" t="s">
        <v>1768</v>
      </c>
      <c r="C367" s="21" t="s">
        <v>1769</v>
      </c>
      <c r="D367" s="21" t="str">
        <f t="shared" si="1"/>
        <v>EU Special Representative, Belgrade-Pristina Dialogue - Served until 2025</v>
      </c>
    </row>
    <row r="368" ht="15.75" customHeight="1">
      <c r="A368" s="21" t="s">
        <v>516</v>
      </c>
      <c r="B368" s="21" t="s">
        <v>1770</v>
      </c>
      <c r="C368" s="21" t="s">
        <v>1771</v>
      </c>
      <c r="D368" s="21" t="str">
        <f t="shared" si="1"/>
        <v>European University Institute - Adjunct Professor</v>
      </c>
    </row>
    <row r="369" ht="15.75" customHeight="1">
      <c r="A369" s="21" t="s">
        <v>524</v>
      </c>
      <c r="B369" s="21" t="s">
        <v>1772</v>
      </c>
      <c r="C369" s="21" t="s">
        <v>1773</v>
      </c>
      <c r="D369" s="21" t="str">
        <f t="shared" si="1"/>
        <v>Cirque du Soleil - Co-founder (1984; sold all shares by 2020)</v>
      </c>
    </row>
    <row r="370" ht="15.75" customHeight="1">
      <c r="A370" s="21" t="s">
        <v>524</v>
      </c>
      <c r="B370" s="21" t="s">
        <v>1774</v>
      </c>
      <c r="C370" s="21" t="s">
        <v>1775</v>
      </c>
      <c r="D370" s="21" t="str">
        <f t="shared" si="1"/>
        <v>One Drop Foundation - Founder (clean water access charity)</v>
      </c>
    </row>
    <row r="371" ht="15.75" customHeight="1">
      <c r="A371" s="21" t="s">
        <v>524</v>
      </c>
      <c r="B371" s="21" t="s">
        <v>1776</v>
      </c>
      <c r="C371" s="21" t="s">
        <v>1777</v>
      </c>
      <c r="D371" s="21" t="str">
        <f t="shared" si="1"/>
        <v>Lune Rouge - Founder (entertainment/technology investment company)</v>
      </c>
    </row>
    <row r="372" ht="15.75" customHeight="1">
      <c r="A372" s="21" t="s">
        <v>530</v>
      </c>
      <c r="B372" s="21" t="s">
        <v>1778</v>
      </c>
      <c r="C372" s="21" t="s">
        <v>1779</v>
      </c>
      <c r="D372" s="21" t="str">
        <f t="shared" si="1"/>
        <v>Ohio State University Wexner Medical Center - Professor and former Chair, Department of Obstetrics &amp; Gynecology</v>
      </c>
    </row>
    <row r="373" ht="15.75" customHeight="1">
      <c r="A373" s="21" t="s">
        <v>530</v>
      </c>
      <c r="B373" s="21" t="s">
        <v>1780</v>
      </c>
      <c r="D373" s="21" t="str">
        <f t="shared" si="1"/>
        <v>Former consultant to New York Strategies Group</v>
      </c>
    </row>
    <row r="374" ht="15.75" customHeight="1">
      <c r="A374" s="21" t="s">
        <v>537</v>
      </c>
      <c r="B374" s="21" t="s">
        <v>1781</v>
      </c>
      <c r="C374" s="21" t="s">
        <v>1782</v>
      </c>
      <c r="D374" s="21" t="str">
        <f t="shared" si="1"/>
        <v>SPI (Syndicat des Producteurs Indépendants) - Former Managing Director (resigned February 2026)</v>
      </c>
    </row>
    <row r="375" ht="15.75" customHeight="1">
      <c r="A375" s="21" t="s">
        <v>537</v>
      </c>
      <c r="B375" s="21" t="s">
        <v>1783</v>
      </c>
      <c r="C375" s="21" t="s">
        <v>1784</v>
      </c>
      <c r="D375" s="21" t="str">
        <f t="shared" si="1"/>
        <v>Pyrtanée LLC - Co-established with Jeffrey Epstein in 2016 (U.S. Virgin Islands; art investment firm)</v>
      </c>
    </row>
    <row r="376" ht="15.75" customHeight="1">
      <c r="A376" s="21" t="s">
        <v>537</v>
      </c>
      <c r="B376" s="21" t="s">
        <v>1785</v>
      </c>
      <c r="C376" s="21" t="s">
        <v>1753</v>
      </c>
      <c r="D376" s="21" t="str">
        <f t="shared" si="1"/>
        <v>Series Mania - Board member</v>
      </c>
    </row>
    <row r="377" ht="15.75" customHeight="1">
      <c r="A377" s="21" t="s">
        <v>537</v>
      </c>
      <c r="B377" s="21" t="s">
        <v>1786</v>
      </c>
      <c r="C377" s="21" t="s">
        <v>1787</v>
      </c>
      <c r="D377" s="21" t="str">
        <f t="shared" si="1"/>
        <v>Fondation Le Refuge - Board member (LGBT+ youth charity)</v>
      </c>
    </row>
    <row r="378" ht="15.75" customHeight="1">
      <c r="A378" s="21" t="s">
        <v>537</v>
      </c>
      <c r="B378" s="21" t="s">
        <v>1788</v>
      </c>
      <c r="C378" s="21" t="s">
        <v>1789</v>
      </c>
      <c r="D378" s="21" t="str">
        <f t="shared" si="1"/>
        <v>PFDM - Member (French association promoting women in media)</v>
      </c>
    </row>
    <row r="379" ht="15.75" customHeight="1">
      <c r="A379" s="21" t="s">
        <v>537</v>
      </c>
      <c r="B379" s="21" t="s">
        <v>1790</v>
      </c>
      <c r="D379" s="21" t="str">
        <f t="shared" si="1"/>
        <v>Former executive at Warner Bros. France</v>
      </c>
    </row>
    <row r="380" ht="15.75" customHeight="1">
      <c r="A380" s="21" t="s">
        <v>545</v>
      </c>
      <c r="B380" s="21" t="s">
        <v>1791</v>
      </c>
      <c r="C380" s="21" t="s">
        <v>1792</v>
      </c>
      <c r="D380" s="21" t="str">
        <f t="shared" si="1"/>
        <v>Institut du Monde Arabe (Arab World Institute), Paris - Former President (resigned 2026 after Epstein revelations)</v>
      </c>
    </row>
    <row r="381" ht="15.75" customHeight="1">
      <c r="A381" s="21" t="s">
        <v>545</v>
      </c>
      <c r="B381" s="21" t="s">
        <v>1793</v>
      </c>
      <c r="C381" s="21" t="s">
        <v>1211</v>
      </c>
      <c r="D381" s="21" t="str">
        <f t="shared" si="1"/>
        <v>French National Assembly - Former member</v>
      </c>
    </row>
    <row r="382" ht="15.75" customHeight="1">
      <c r="A382" s="21" t="s">
        <v>545</v>
      </c>
      <c r="B382" s="21" t="s">
        <v>1794</v>
      </c>
      <c r="C382" s="21" t="s">
        <v>1795</v>
      </c>
      <c r="D382" s="21" t="str">
        <f t="shared" si="1"/>
        <v>Government of France - Former Minister of Culture (1981–1986, 1988–1993); Former Minister of Education (2000–2002)</v>
      </c>
    </row>
    <row r="383" ht="15.75" customHeight="1">
      <c r="A383" s="21" t="s">
        <v>551</v>
      </c>
      <c r="B383" s="21" t="s">
        <v>1796</v>
      </c>
      <c r="C383" s="21" t="s">
        <v>1797</v>
      </c>
      <c r="D383" s="21" t="str">
        <f t="shared" si="1"/>
        <v>Estée Lauder Companies - Major shareholder (~3.8% Class B shares); Former Chairman of Estée Lauder International; Former Executive Vice President</v>
      </c>
    </row>
    <row r="384" ht="15.75" customHeight="1">
      <c r="A384" s="21" t="s">
        <v>551</v>
      </c>
      <c r="B384" s="21" t="s">
        <v>1798</v>
      </c>
      <c r="C384" s="21" t="s">
        <v>1799</v>
      </c>
      <c r="D384" s="21" t="str">
        <f t="shared" si="1"/>
        <v>Clinique Laboratories LLC - Chairman (since 1993)</v>
      </c>
    </row>
    <row r="385" ht="15.75" customHeight="1">
      <c r="A385" s="21" t="s">
        <v>551</v>
      </c>
      <c r="B385" s="21" t="s">
        <v>1800</v>
      </c>
      <c r="C385" s="21" t="s">
        <v>1801</v>
      </c>
      <c r="D385" s="21" t="str">
        <f t="shared" si="1"/>
        <v>World Jewish Congress - President (since 2009)</v>
      </c>
    </row>
    <row r="386" ht="15.75" customHeight="1">
      <c r="A386" s="21" t="s">
        <v>551</v>
      </c>
      <c r="B386" s="21" t="s">
        <v>1802</v>
      </c>
      <c r="C386" s="21" t="s">
        <v>1803</v>
      </c>
      <c r="D386" s="21" t="str">
        <f t="shared" si="1"/>
        <v>Neue Galerie New York - Founder &amp; President (2001)</v>
      </c>
    </row>
    <row r="387" ht="15.75" customHeight="1">
      <c r="A387" s="21" t="s">
        <v>551</v>
      </c>
      <c r="B387" s="21" t="s">
        <v>1804</v>
      </c>
      <c r="C387" s="21" t="s">
        <v>1805</v>
      </c>
      <c r="D387" s="21" t="str">
        <f t="shared" si="1"/>
        <v>Ronald S. Lauder Foundation - Founder &amp; Chairman/President (since 1987)</v>
      </c>
    </row>
    <row r="388" ht="15.75" customHeight="1">
      <c r="A388" s="21" t="s">
        <v>551</v>
      </c>
      <c r="B388" s="21" t="s">
        <v>1806</v>
      </c>
      <c r="C388" s="21" t="s">
        <v>1807</v>
      </c>
      <c r="D388" s="21" t="str">
        <f t="shared" si="1"/>
        <v>Central European Media Enterprises - Founder &amp; Former Non-Executive Chairman (1994)</v>
      </c>
    </row>
    <row r="389" ht="15.75" customHeight="1">
      <c r="A389" s="21" t="s">
        <v>551</v>
      </c>
      <c r="B389" s="21" t="s">
        <v>1808</v>
      </c>
      <c r="C389" s="21" t="s">
        <v>1809</v>
      </c>
      <c r="D389" s="21" t="str">
        <f t="shared" si="1"/>
        <v>RWL Water LLC - Founder &amp; Chairman (2010)</v>
      </c>
    </row>
    <row r="390" ht="15.75" customHeight="1">
      <c r="A390" s="21" t="s">
        <v>551</v>
      </c>
      <c r="B390" s="21" t="s">
        <v>1810</v>
      </c>
      <c r="C390" s="21" t="s">
        <v>1811</v>
      </c>
      <c r="D390" s="21" t="str">
        <f t="shared" si="1"/>
        <v>PanAfrican Investment Co. LLC - Founder &amp; Managing Member</v>
      </c>
    </row>
    <row r="391" ht="15.75" customHeight="1">
      <c r="A391" s="21" t="s">
        <v>551</v>
      </c>
      <c r="B391" s="21" t="s">
        <v>1812</v>
      </c>
      <c r="C391" s="21" t="s">
        <v>1813</v>
      </c>
      <c r="D391" s="21" t="str">
        <f t="shared" si="1"/>
        <v>Alzheimer's Drug Discovery Foundation - Co-Chairman (co-founder)</v>
      </c>
    </row>
    <row r="392" ht="15.75" customHeight="1">
      <c r="A392" s="21" t="s">
        <v>551</v>
      </c>
      <c r="B392" s="21" t="s">
        <v>1814</v>
      </c>
      <c r="C392" s="21" t="s">
        <v>1815</v>
      </c>
      <c r="D392" s="21" t="str">
        <f t="shared" si="1"/>
        <v>Brandeis University - Chairman, Board of Trustees</v>
      </c>
    </row>
    <row r="393" ht="15.75" customHeight="1">
      <c r="A393" s="21" t="s">
        <v>551</v>
      </c>
      <c r="B393" s="21" t="s">
        <v>1816</v>
      </c>
      <c r="C393" s="21" t="s">
        <v>1817</v>
      </c>
      <c r="D393" s="21" t="str">
        <f t="shared" si="1"/>
        <v>Jewish National Fund United States - Director/Board Member</v>
      </c>
    </row>
    <row r="394" ht="15.75" customHeight="1">
      <c r="A394" s="21" t="s">
        <v>551</v>
      </c>
      <c r="B394" s="21" t="s">
        <v>1818</v>
      </c>
      <c r="D394" s="21" t="str">
        <f t="shared" si="1"/>
        <v>Former Chairman, Board of Trustees, The Museum of Modern Art</v>
      </c>
    </row>
    <row r="395" ht="15.75" customHeight="1">
      <c r="A395" s="21" t="s">
        <v>558</v>
      </c>
      <c r="B395" s="21" t="s">
        <v>1819</v>
      </c>
      <c r="C395" s="21" t="s">
        <v>1820</v>
      </c>
      <c r="D395" s="21" t="str">
        <f t="shared" si="1"/>
        <v>Russia - Minister of Foreign Affairs (since 2004)</v>
      </c>
    </row>
    <row r="396" ht="15.75" customHeight="1">
      <c r="A396" s="21" t="s">
        <v>558</v>
      </c>
      <c r="B396" s="21" t="s">
        <v>1821</v>
      </c>
      <c r="C396" s="21" t="s">
        <v>1822</v>
      </c>
      <c r="D396" s="21" t="str">
        <f t="shared" si="1"/>
        <v>Russian International Affairs Council (RIAC) - Chairman of the Board of Trustees</v>
      </c>
    </row>
    <row r="397" ht="15.75" customHeight="1">
      <c r="A397" s="21" t="s">
        <v>558</v>
      </c>
      <c r="B397" s="21" t="s">
        <v>1823</v>
      </c>
      <c r="D397" s="21" t="str">
        <f t="shared" si="1"/>
        <v>Former Permanent Representative of Russia to the United Nations and UN Security Council</v>
      </c>
    </row>
    <row r="398" ht="15.75" customHeight="1">
      <c r="A398" s="21" t="s">
        <v>558</v>
      </c>
      <c r="B398" s="21" t="s">
        <v>1824</v>
      </c>
      <c r="D398" s="21" t="str">
        <f t="shared" si="1"/>
        <v>Former Chairman, Committee of Ministers, Council of Europe</v>
      </c>
    </row>
    <row r="399" ht="15.75" customHeight="1">
      <c r="A399" s="21" t="s">
        <v>565</v>
      </c>
      <c r="B399" s="21" t="s">
        <v>1825</v>
      </c>
      <c r="C399" s="21" t="s">
        <v>1826</v>
      </c>
      <c r="D399" s="21" t="str">
        <f t="shared" si="1"/>
        <v>Cantor Fitzgerald - Former Chairman &amp; CEO (transferred ownership to trusts for his children in 2025)</v>
      </c>
    </row>
    <row r="400" ht="15.75" customHeight="1">
      <c r="A400" s="21" t="s">
        <v>565</v>
      </c>
      <c r="B400" s="21" t="s">
        <v>1827</v>
      </c>
      <c r="C400" s="21" t="s">
        <v>1828</v>
      </c>
      <c r="D400" s="21" t="str">
        <f t="shared" si="1"/>
        <v>BGC Group / BGC Partners - Founder (2004; divested all ownership/voting interests in 2025)</v>
      </c>
    </row>
    <row r="401" ht="15.75" customHeight="1">
      <c r="A401" s="21" t="s">
        <v>565</v>
      </c>
      <c r="B401" s="21" t="s">
        <v>1829</v>
      </c>
      <c r="C401" s="21" t="s">
        <v>1830</v>
      </c>
      <c r="D401" s="21" t="str">
        <f t="shared" si="1"/>
        <v>Newmark Group, Inc. - Led acquisition (commercial real estate advisory)</v>
      </c>
    </row>
    <row r="402" ht="15.75" customHeight="1">
      <c r="A402" s="21" t="s">
        <v>565</v>
      </c>
      <c r="B402" s="21" t="s">
        <v>1831</v>
      </c>
      <c r="C402" s="21" t="s">
        <v>1832</v>
      </c>
      <c r="D402" s="21" t="str">
        <f t="shared" si="1"/>
        <v>Cantor Commercial Real Estate (CCRE) - Founder/overseer</v>
      </c>
    </row>
    <row r="403" ht="15.75" customHeight="1">
      <c r="A403" s="21" t="s">
        <v>565</v>
      </c>
      <c r="B403" s="21" t="s">
        <v>1833</v>
      </c>
      <c r="C403" s="21" t="s">
        <v>1834</v>
      </c>
      <c r="D403" s="21" t="str">
        <f t="shared" si="1"/>
        <v>Cantor Ventures - Founder (venture capital arm)</v>
      </c>
    </row>
    <row r="404" ht="15.75" customHeight="1">
      <c r="A404" s="21" t="s">
        <v>565</v>
      </c>
      <c r="B404" s="21" t="s">
        <v>1835</v>
      </c>
      <c r="C404" s="21" t="s">
        <v>1836</v>
      </c>
      <c r="D404" s="21" t="str">
        <f t="shared" si="1"/>
        <v>U.S. Department of Commerce - Secretary of Commerce (appointed January 2025 by President Trump)</v>
      </c>
    </row>
    <row r="405" ht="15.75" customHeight="1">
      <c r="A405" s="21" t="s">
        <v>573</v>
      </c>
      <c r="B405" s="21" t="s">
        <v>1837</v>
      </c>
      <c r="C405" s="21" t="s">
        <v>1838</v>
      </c>
      <c r="D405" s="21" t="str">
        <f t="shared" si="1"/>
        <v>Global Counsel - Co-founder (lobbying/strategic advisory firm, London, 2010)</v>
      </c>
    </row>
    <row r="406" ht="15.75" customHeight="1">
      <c r="A406" s="21" t="s">
        <v>573</v>
      </c>
      <c r="B406" s="21" t="s">
        <v>1839</v>
      </c>
      <c r="C406" s="21" t="s">
        <v>1840</v>
      </c>
      <c r="D406" s="21" t="str">
        <f t="shared" si="1"/>
        <v>UK Government - Former Secretary of State for Trade and Industry; Former Secretary of State for Northern Ireland; Former Secretary of State for Business, Innovation and Skills</v>
      </c>
    </row>
    <row r="407" ht="15.75" customHeight="1">
      <c r="A407" s="21" t="s">
        <v>573</v>
      </c>
      <c r="B407" s="21" t="s">
        <v>1841</v>
      </c>
      <c r="C407" s="21" t="s">
        <v>1842</v>
      </c>
      <c r="D407" s="21" t="str">
        <f t="shared" si="1"/>
        <v>European Commission - Former European Commissioner for Trade (2004–2008)</v>
      </c>
    </row>
    <row r="408" ht="15.75" customHeight="1">
      <c r="A408" s="21" t="s">
        <v>573</v>
      </c>
      <c r="B408" s="21" t="s">
        <v>1843</v>
      </c>
      <c r="C408" s="21" t="s">
        <v>1844</v>
      </c>
      <c r="D408" s="21" t="str">
        <f t="shared" si="1"/>
        <v>House of Lords - Former Life Peer (resigned from Labour Party and House of Lords in early February 2026)</v>
      </c>
    </row>
    <row r="409" ht="15.75" customHeight="1">
      <c r="A409" s="21" t="s">
        <v>573</v>
      </c>
      <c r="B409" s="21" t="s">
        <v>1845</v>
      </c>
      <c r="C409" s="21" t="s">
        <v>1846</v>
      </c>
      <c r="D409" s="21" t="str">
        <f t="shared" si="1"/>
        <v>Lazard - Former Senior Adviser (2011–2022)</v>
      </c>
    </row>
    <row r="410" ht="15.75" customHeight="1">
      <c r="A410" s="21" t="s">
        <v>573</v>
      </c>
      <c r="B410" s="21" t="s">
        <v>1847</v>
      </c>
      <c r="C410" s="21" t="s">
        <v>1848</v>
      </c>
      <c r="D410" s="21" t="str">
        <f t="shared" si="1"/>
        <v>Deutsche Bank's Alfred Herrhausen Gesellschaft - Former Board of Trustees member (2013)</v>
      </c>
    </row>
    <row r="411" ht="15.75" customHeight="1">
      <c r="A411" s="21" t="s">
        <v>573</v>
      </c>
      <c r="B411" s="21" t="s">
        <v>1849</v>
      </c>
      <c r="D411" s="21" t="str">
        <f t="shared" si="1"/>
        <v>Lobbying clients included: Shein, Shell, Palantir, Alibaba, TikTok</v>
      </c>
    </row>
    <row r="412" ht="15.75" customHeight="1">
      <c r="A412" s="21" t="s">
        <v>1850</v>
      </c>
      <c r="B412" s="21" t="s">
        <v>1851</v>
      </c>
      <c r="C412" s="21" t="s">
        <v>1852</v>
      </c>
      <c r="D412" s="21" t="str">
        <f t="shared" si="1"/>
        <v>Aviloop - Founder &amp; CEO (aviation consulting and marketing company)</v>
      </c>
    </row>
    <row r="413" ht="15.75" customHeight="1">
      <c r="A413" s="21" t="s">
        <v>1850</v>
      </c>
      <c r="B413" s="21" t="s">
        <v>1853</v>
      </c>
      <c r="D413" s="21" t="str">
        <f t="shared" si="1"/>
        <v>Licensed Airline Transport Pilot (ATP), rated on multiple Gulfstream and Boeing aircraft</v>
      </c>
    </row>
    <row r="414" ht="15.75" customHeight="1">
      <c r="A414" s="21" t="s">
        <v>1854</v>
      </c>
      <c r="B414" s="21" t="s">
        <v>1855</v>
      </c>
      <c r="C414" s="21" t="s">
        <v>1856</v>
      </c>
      <c r="D414" s="21" t="str">
        <f t="shared" si="1"/>
        <v>WWE (World Wrestling Entertainment) - Former professional wrestler/performer (2005–2008)</v>
      </c>
    </row>
    <row r="415" ht="15.75" customHeight="1">
      <c r="A415" s="21" t="s">
        <v>580</v>
      </c>
      <c r="B415" s="21" t="s">
        <v>1857</v>
      </c>
      <c r="C415" s="21" t="s">
        <v>1858</v>
      </c>
      <c r="D415" s="21" t="str">
        <f t="shared" si="1"/>
        <v>TerraMar Project - Founder (ocean conservation nonprofit, 2012; shut down July 2019)</v>
      </c>
    </row>
    <row r="416" ht="15.75" customHeight="1">
      <c r="A416" s="21" t="s">
        <v>580</v>
      </c>
      <c r="B416" s="21" t="s">
        <v>1859</v>
      </c>
      <c r="C416" s="21" t="s">
        <v>1860</v>
      </c>
      <c r="D416" s="21" t="str">
        <f t="shared" si="1"/>
        <v>Terramar (UK) - Director (dissolved December 2019)</v>
      </c>
    </row>
    <row r="417" ht="15.75" customHeight="1">
      <c r="A417" s="21" t="s">
        <v>580</v>
      </c>
      <c r="B417" s="21" t="s">
        <v>1861</v>
      </c>
      <c r="C417" s="21" t="s">
        <v>1862</v>
      </c>
      <c r="D417" s="21" t="str">
        <f t="shared" si="1"/>
        <v>Max Foundation Tr. - Trustee (private philanthropic foundation)</v>
      </c>
    </row>
    <row r="418" ht="15.75" customHeight="1">
      <c r="A418" s="21" t="s">
        <v>580</v>
      </c>
      <c r="B418" s="21" t="s">
        <v>1863</v>
      </c>
      <c r="C418" s="21" t="s">
        <v>1864</v>
      </c>
      <c r="D418" s="21" t="str">
        <f t="shared" si="1"/>
        <v>Oxford United Football Club - Former Director (during Robert Maxwell's ownership)</v>
      </c>
    </row>
    <row r="419" ht="15.75" customHeight="1">
      <c r="A419" s="21" t="s">
        <v>580</v>
      </c>
      <c r="B419" s="21" t="s">
        <v>1865</v>
      </c>
      <c r="D419" s="21" t="str">
        <f t="shared" si="1"/>
        <v>Former employee at *The European* newspaper (her father's publication)</v>
      </c>
    </row>
    <row r="420" ht="15.75" customHeight="1">
      <c r="A420" s="21" t="s">
        <v>580</v>
      </c>
      <c r="B420" s="21" t="s">
        <v>1866</v>
      </c>
      <c r="C420" s="21" t="s">
        <v>1867</v>
      </c>
      <c r="D420" s="21" t="str">
        <f t="shared" si="1"/>
        <v>Former social figure in Kit - Cat Club (women's social club she founded)</v>
      </c>
    </row>
    <row r="421" ht="15.75" customHeight="1">
      <c r="A421" s="21" t="s">
        <v>588</v>
      </c>
      <c r="B421" s="21" t="s">
        <v>1868</v>
      </c>
      <c r="C421" s="21" t="s">
        <v>1869</v>
      </c>
      <c r="D421" s="21" t="str">
        <f t="shared" si="1"/>
        <v>Maxwell Communication Corporation (MCC) - Founder/Owner (formerly British Printing and Communication Corporation)</v>
      </c>
    </row>
    <row r="422" ht="15.75" customHeight="1">
      <c r="A422" s="21" t="s">
        <v>588</v>
      </c>
      <c r="B422" s="21" t="s">
        <v>1870</v>
      </c>
      <c r="C422" s="21" t="s">
        <v>1871</v>
      </c>
      <c r="D422" s="21" t="str">
        <f t="shared" si="1"/>
        <v>Mirror Group Newspapers - Owner (Daily Mirror, Sunday Mirror, Scottish Daily Record, etc.)</v>
      </c>
    </row>
    <row r="423" ht="15.75" customHeight="1">
      <c r="A423" s="21" t="s">
        <v>588</v>
      </c>
      <c r="B423" s="21" t="s">
        <v>1872</v>
      </c>
      <c r="C423" s="21" t="s">
        <v>1873</v>
      </c>
      <c r="D423" s="21" t="str">
        <f t="shared" si="1"/>
        <v>Pergamon Press - Co-founder/Owner (academic publishing; sold to Elsevier 1991)</v>
      </c>
    </row>
    <row r="424" ht="15.75" customHeight="1">
      <c r="A424" s="21" t="s">
        <v>588</v>
      </c>
      <c r="B424" s="21" t="s">
        <v>1874</v>
      </c>
      <c r="C424" s="21" t="s">
        <v>1875</v>
      </c>
      <c r="D424" s="21" t="str">
        <f t="shared" si="1"/>
        <v>Macmillan Inc. - Owner (acquired 1988 for $2.6 billion)</v>
      </c>
    </row>
    <row r="425" ht="15.75" customHeight="1">
      <c r="A425" s="21" t="s">
        <v>588</v>
      </c>
      <c r="B425" s="21" t="s">
        <v>1876</v>
      </c>
      <c r="C425" s="21" t="s">
        <v>1877</v>
      </c>
      <c r="D425" s="21" t="str">
        <f t="shared" si="1"/>
        <v>The European - Founder (transnational newspaper)</v>
      </c>
    </row>
    <row r="426" ht="15.75" customHeight="1">
      <c r="A426" s="21" t="s">
        <v>588</v>
      </c>
      <c r="B426" s="21" t="s">
        <v>1878</v>
      </c>
      <c r="C426" s="21" t="s">
        <v>1879</v>
      </c>
      <c r="D426" s="21" t="str">
        <f t="shared" si="1"/>
        <v>New York Daily News - Owner (acquired 1991)</v>
      </c>
    </row>
    <row r="427" ht="15.75" customHeight="1">
      <c r="A427" s="21" t="s">
        <v>588</v>
      </c>
      <c r="B427" s="21" t="s">
        <v>1880</v>
      </c>
      <c r="C427" s="21" t="s">
        <v>1881</v>
      </c>
      <c r="D427" s="21" t="str">
        <f t="shared" si="1"/>
        <v>Maxwell Foundation - Established in Liechtenstein (1970)</v>
      </c>
    </row>
    <row r="428" ht="15.75" customHeight="1">
      <c r="A428" s="21" t="s">
        <v>588</v>
      </c>
      <c r="B428" s="21" t="s">
        <v>1882</v>
      </c>
      <c r="C428" s="21" t="s">
        <v>1477</v>
      </c>
      <c r="D428" s="21" t="str">
        <f t="shared" si="1"/>
        <v>Berlitz Language Schools - Owner</v>
      </c>
    </row>
    <row r="429" ht="15.75" customHeight="1">
      <c r="A429" s="21" t="s">
        <v>588</v>
      </c>
      <c r="B429" s="21" t="s">
        <v>1883</v>
      </c>
      <c r="C429" s="21" t="s">
        <v>1477</v>
      </c>
      <c r="D429" s="21" t="str">
        <f t="shared" si="1"/>
        <v>Nimbus Records - Owner</v>
      </c>
    </row>
    <row r="430" ht="15.75" customHeight="1">
      <c r="A430" s="21" t="s">
        <v>588</v>
      </c>
      <c r="B430" s="21" t="s">
        <v>1884</v>
      </c>
      <c r="C430" s="21" t="s">
        <v>1477</v>
      </c>
      <c r="D430" s="21" t="str">
        <f t="shared" si="1"/>
        <v>Prentice Hall Information Services - Owner</v>
      </c>
    </row>
    <row r="431" ht="15.75" customHeight="1">
      <c r="A431" s="21" t="s">
        <v>588</v>
      </c>
      <c r="B431" s="21" t="s">
        <v>1885</v>
      </c>
      <c r="C431" s="21" t="s">
        <v>1886</v>
      </c>
      <c r="D431" s="21" t="str">
        <f t="shared" si="1"/>
        <v>MTV Europe - Half-share owner</v>
      </c>
    </row>
    <row r="432" ht="15.75" customHeight="1">
      <c r="A432" s="21" t="s">
        <v>588</v>
      </c>
      <c r="B432" s="21" t="s">
        <v>1863</v>
      </c>
      <c r="C432" s="21" t="s">
        <v>1887</v>
      </c>
      <c r="D432" s="21" t="str">
        <f t="shared" si="1"/>
        <v>Oxford United Football Club - Former Owner</v>
      </c>
    </row>
    <row r="433" ht="15.75" customHeight="1">
      <c r="A433" s="21" t="s">
        <v>588</v>
      </c>
      <c r="B433" s="21" t="s">
        <v>1888</v>
      </c>
      <c r="C433" s="21" t="s">
        <v>1889</v>
      </c>
      <c r="D433" s="21" t="str">
        <f t="shared" si="1"/>
        <v>Fleetway Publications - Created from IPC Media acquisition (1987)</v>
      </c>
    </row>
    <row r="434" ht="15.75" customHeight="1">
      <c r="A434" s="21" t="s">
        <v>588</v>
      </c>
      <c r="B434" s="21" t="s">
        <v>1890</v>
      </c>
      <c r="C434" s="21" t="s">
        <v>1891</v>
      </c>
      <c r="D434" s="21" t="str">
        <f t="shared" si="1"/>
        <v>M&amp;S Syndicate (ZANU-PF linked) - Mass Media Trust connection</v>
      </c>
    </row>
    <row r="435" ht="15.75" customHeight="1">
      <c r="A435" s="21" t="s">
        <v>588</v>
      </c>
      <c r="B435" s="21" t="s">
        <v>1892</v>
      </c>
      <c r="C435" s="21" t="s">
        <v>1893</v>
      </c>
      <c r="D435" s="21" t="str">
        <f t="shared" si="1"/>
        <v>UK Member of Parliament for Buckingham (1964 - 1970)</v>
      </c>
    </row>
    <row r="436" ht="15.75" customHeight="1">
      <c r="A436" s="21" t="s">
        <v>595</v>
      </c>
      <c r="B436" s="21" t="s">
        <v>1894</v>
      </c>
      <c r="C436" s="21" t="s">
        <v>1895</v>
      </c>
      <c r="D436" s="21" t="str">
        <f t="shared" si="1"/>
        <v>Crown Prince and Crown Princess's Foundation - Co-founder (with Crown Prince Haakon; youth support projects in Norway)</v>
      </c>
    </row>
    <row r="437" ht="15.75" customHeight="1">
      <c r="A437" s="21" t="s">
        <v>595</v>
      </c>
      <c r="B437" s="21" t="s">
        <v>1896</v>
      </c>
      <c r="C437" s="21" t="s">
        <v>1897</v>
      </c>
      <c r="D437" s="21" t="str">
        <f t="shared" si="1"/>
        <v>Maverick Collective - Co-founder (with Kate Roberts of PSI; women's global health initiative, 2015)</v>
      </c>
    </row>
    <row r="438" ht="15.75" customHeight="1">
      <c r="A438" s="21" t="s">
        <v>595</v>
      </c>
      <c r="B438" s="21" t="s">
        <v>1898</v>
      </c>
      <c r="C438" s="21" t="s">
        <v>1899</v>
      </c>
      <c r="D438" s="21" t="str">
        <f t="shared" si="1"/>
        <v>UNAIDS - International Goodwill Ambassador (since 2006)</v>
      </c>
    </row>
    <row r="439" ht="15.75" customHeight="1">
      <c r="A439" s="21" t="s">
        <v>595</v>
      </c>
      <c r="B439" s="21" t="s">
        <v>1350</v>
      </c>
      <c r="C439" s="21" t="s">
        <v>1900</v>
      </c>
      <c r="D439" s="21" t="str">
        <f t="shared" si="1"/>
        <v>Norwegian Red Cross - Patron</v>
      </c>
    </row>
    <row r="440" ht="15.75" customHeight="1">
      <c r="A440" s="21" t="s">
        <v>595</v>
      </c>
      <c r="B440" s="21" t="s">
        <v>1901</v>
      </c>
      <c r="D440" s="21" t="str">
        <f t="shared" si="1"/>
        <v>Patron of numerous Norwegian organizations including: Norwegian Library Association, Nynorsk Cultural Centre, Norwegian Council for Mental Health, Norwegian Guide and Scout Association, FOKUS (Forum for Women and Development), and many others</v>
      </c>
    </row>
    <row r="441" ht="15.75" customHeight="1">
      <c r="A441" s="21" t="s">
        <v>595</v>
      </c>
      <c r="B441" s="21" t="s">
        <v>1902</v>
      </c>
      <c r="C441" s="21" t="s">
        <v>1903</v>
      </c>
      <c r="D441" s="21" t="str">
        <f t="shared" si="1"/>
        <v>Norwegian Royal Family - Crown Princess of Norway (wife of Crown Prince Haakon)</v>
      </c>
    </row>
    <row r="442" ht="15.75" customHeight="1">
      <c r="A442" s="21" t="s">
        <v>602</v>
      </c>
      <c r="B442" s="21" t="s">
        <v>1609</v>
      </c>
      <c r="C442" s="21" t="s">
        <v>1904</v>
      </c>
      <c r="D442" s="21" t="str">
        <f t="shared" si="1"/>
        <v>MIT Media Lab - Co-founder (with Nicholas Negroponte)</v>
      </c>
    </row>
    <row r="443" ht="15.75" customHeight="1">
      <c r="A443" s="21" t="s">
        <v>602</v>
      </c>
      <c r="B443" s="21" t="s">
        <v>1905</v>
      </c>
      <c r="C443" s="21" t="s">
        <v>1906</v>
      </c>
      <c r="D443" s="21" t="str">
        <f t="shared" si="1"/>
        <v>MIT Artificial Intelligence Laboratory - Co-founder (with John McCarthy)</v>
      </c>
    </row>
    <row r="444" ht="15.75" customHeight="1">
      <c r="A444" s="21" t="s">
        <v>602</v>
      </c>
      <c r="B444" s="21" t="s">
        <v>1907</v>
      </c>
      <c r="C444" s="21" t="s">
        <v>1908</v>
      </c>
      <c r="D444" s="21" t="str">
        <f t="shared" si="1"/>
        <v>Thinker Toys - Author and concept developer</v>
      </c>
    </row>
    <row r="445" ht="15.75" customHeight="1">
      <c r="A445" s="21" t="s">
        <v>610</v>
      </c>
      <c r="B445" s="21" t="s">
        <v>1909</v>
      </c>
      <c r="C445" s="21" t="s">
        <v>1910</v>
      </c>
      <c r="D445" s="21" t="str">
        <f t="shared" si="1"/>
        <v>DLA Piper - Chairman of the Global Board / Chairman Emeritus</v>
      </c>
    </row>
    <row r="446" ht="15.75" customHeight="1">
      <c r="A446" s="21" t="s">
        <v>610</v>
      </c>
      <c r="B446" s="21" t="s">
        <v>1911</v>
      </c>
      <c r="C446" s="21" t="s">
        <v>1912</v>
      </c>
      <c r="D446" s="21" t="str">
        <f t="shared" si="1"/>
        <v>The Walt Disney Company - Former Chairman of the Board of Directors (2004–2007)</v>
      </c>
    </row>
    <row r="447" ht="15.75" customHeight="1">
      <c r="A447" s="21" t="s">
        <v>610</v>
      </c>
      <c r="B447" s="21" t="s">
        <v>1913</v>
      </c>
      <c r="C447" s="21" t="s">
        <v>1914</v>
      </c>
      <c r="D447" s="21" t="str">
        <f t="shared" si="1"/>
        <v>U.S. Senate - Former Senator from Maine (1980–1995); Senate Majority Leader (1989–1995)</v>
      </c>
    </row>
    <row r="448" ht="15.75" customHeight="1">
      <c r="A448" s="21" t="s">
        <v>610</v>
      </c>
      <c r="B448" s="21" t="s">
        <v>1915</v>
      </c>
      <c r="C448" s="21" t="s">
        <v>1916</v>
      </c>
      <c r="D448" s="21" t="str">
        <f t="shared" si="1"/>
        <v>U.S. Special Envoy for Middle East Peace - Appointed by President Obama</v>
      </c>
    </row>
    <row r="449" ht="15.75" customHeight="1">
      <c r="A449" s="21" t="s">
        <v>610</v>
      </c>
      <c r="B449" s="21" t="s">
        <v>1917</v>
      </c>
      <c r="C449" s="21" t="s">
        <v>1918</v>
      </c>
      <c r="D449" s="21" t="str">
        <f t="shared" si="1"/>
        <v>Northern Ireland Peace Process - Chairman of peace negotiations (Good Friday Agreement)</v>
      </c>
    </row>
    <row r="450" ht="15.75" customHeight="1">
      <c r="A450" s="21" t="s">
        <v>610</v>
      </c>
      <c r="B450" s="21" t="s">
        <v>1919</v>
      </c>
      <c r="C450" s="21" t="s">
        <v>1920</v>
      </c>
      <c r="D450" s="21" t="str">
        <f t="shared" si="1"/>
        <v>Queen's University Belfast - Former Chancellor (1999–2009)</v>
      </c>
    </row>
    <row r="451" ht="15.75" customHeight="1">
      <c r="A451" s="21" t="s">
        <v>610</v>
      </c>
      <c r="B451" s="21" t="s">
        <v>1921</v>
      </c>
      <c r="C451" s="21" t="s">
        <v>1922</v>
      </c>
      <c r="D451" s="21" t="str">
        <f t="shared" si="1"/>
        <v>International Crisis Group - Former Chairman</v>
      </c>
    </row>
    <row r="452" ht="15.75" customHeight="1">
      <c r="A452" s="21" t="s">
        <v>610</v>
      </c>
      <c r="B452" s="21" t="s">
        <v>1923</v>
      </c>
      <c r="C452" s="21" t="s">
        <v>1924</v>
      </c>
      <c r="D452" s="21" t="str">
        <f t="shared" si="1"/>
        <v>ZeniMax Media - Former Advisor</v>
      </c>
    </row>
    <row r="453" ht="15.75" customHeight="1">
      <c r="A453" s="21" t="s">
        <v>610</v>
      </c>
      <c r="B453" s="21" t="s">
        <v>1925</v>
      </c>
      <c r="D453" s="21" t="str">
        <f t="shared" si="1"/>
        <v>Board memberships: FedEx, Xerox, Staples, Unilever, Starwood Hotels and Resorts, Boston Red Sox</v>
      </c>
    </row>
    <row r="454" ht="15.75" customHeight="1">
      <c r="A454" s="21" t="s">
        <v>610</v>
      </c>
      <c r="B454" s="21" t="s">
        <v>1926</v>
      </c>
      <c r="D454" s="21" t="str">
        <f t="shared" si="1"/>
        <v>Former President, Economic Club of Washington</v>
      </c>
    </row>
    <row r="455" ht="15.75" customHeight="1">
      <c r="A455" s="21" t="s">
        <v>868</v>
      </c>
      <c r="B455" s="21" t="s">
        <v>1927</v>
      </c>
      <c r="C455" s="21" t="s">
        <v>1928</v>
      </c>
      <c r="D455" s="21" t="str">
        <f t="shared" si="1"/>
        <v>Saudi Arabia - Crown Prince and Prime Minister</v>
      </c>
    </row>
    <row r="456" ht="15.75" customHeight="1">
      <c r="A456" s="21" t="s">
        <v>868</v>
      </c>
      <c r="B456" s="21" t="s">
        <v>1929</v>
      </c>
      <c r="C456" s="21" t="s">
        <v>1930</v>
      </c>
      <c r="D456" s="21" t="str">
        <f t="shared" si="1"/>
        <v>Misk Foundation (Mohammed bin Salman Foundation) - Founder &amp; Chairman (non-profit for youth education and entrepreneurship, 2011)</v>
      </c>
    </row>
    <row r="457" ht="15.75" customHeight="1">
      <c r="A457" s="21" t="s">
        <v>868</v>
      </c>
      <c r="B457" s="21" t="s">
        <v>1931</v>
      </c>
      <c r="C457" s="21" t="s">
        <v>1932</v>
      </c>
      <c r="D457" s="21" t="str">
        <f t="shared" si="1"/>
        <v>Mohammed Bin Salman Nonprofit City - Founder (announced 2021, Riyadh)</v>
      </c>
    </row>
    <row r="458" ht="15.75" customHeight="1">
      <c r="A458" s="21" t="s">
        <v>868</v>
      </c>
      <c r="B458" s="21" t="s">
        <v>1933</v>
      </c>
      <c r="C458" s="21" t="s">
        <v>1934</v>
      </c>
      <c r="D458" s="21" t="str">
        <f t="shared" si="1"/>
        <v>Misk Art Institute - Founded under Misk Foundation (2017)</v>
      </c>
    </row>
    <row r="459" ht="15.75" customHeight="1">
      <c r="A459" s="21" t="s">
        <v>868</v>
      </c>
      <c r="B459" s="21" t="s">
        <v>1935</v>
      </c>
      <c r="C459" s="21" t="s">
        <v>1936</v>
      </c>
      <c r="D459" s="21" t="str">
        <f t="shared" si="1"/>
        <v>Manga Productions - Under Misk Foundation (animated content/video games)</v>
      </c>
    </row>
    <row r="460" ht="15.75" customHeight="1">
      <c r="A460" s="21" t="s">
        <v>868</v>
      </c>
      <c r="B460" s="21" t="s">
        <v>1937</v>
      </c>
      <c r="C460" s="21" t="s">
        <v>1938</v>
      </c>
      <c r="D460" s="21" t="str">
        <f t="shared" si="1"/>
        <v>Misk International Schools - Founded under Misk (2016)</v>
      </c>
    </row>
    <row r="461" ht="15.75" customHeight="1">
      <c r="A461" s="21" t="s">
        <v>868</v>
      </c>
      <c r="B461" s="21" t="s">
        <v>1939</v>
      </c>
      <c r="C461" s="21" t="s">
        <v>1940</v>
      </c>
      <c r="D461" s="21" t="str">
        <f t="shared" si="1"/>
        <v>Public Investment Fund (PIF) of Saudi Arabia - Chairman (sovereign wealth fund)</v>
      </c>
    </row>
    <row r="462" ht="15.75" customHeight="1">
      <c r="A462" s="21" t="s">
        <v>868</v>
      </c>
      <c r="B462" s="21" t="s">
        <v>1941</v>
      </c>
      <c r="C462" s="21" t="s">
        <v>1942</v>
      </c>
      <c r="D462" s="21" t="str">
        <f t="shared" si="1"/>
        <v>NEOM - Project sponsor (planned megacity)</v>
      </c>
    </row>
    <row r="463" ht="15.75" customHeight="1">
      <c r="A463" s="21" t="s">
        <v>868</v>
      </c>
      <c r="B463" s="21" t="s">
        <v>1943</v>
      </c>
      <c r="C463" s="21" t="s">
        <v>1944</v>
      </c>
      <c r="D463" s="21" t="str">
        <f t="shared" si="1"/>
        <v>Saudi Vision 2030 - Architect and chief champion</v>
      </c>
    </row>
    <row r="464" ht="15.75" customHeight="1">
      <c r="A464" s="21" t="s">
        <v>618</v>
      </c>
      <c r="B464" s="21" t="s">
        <v>1945</v>
      </c>
      <c r="C464" s="21" t="s">
        <v>1946</v>
      </c>
      <c r="D464" s="21" t="str">
        <f t="shared" si="1"/>
        <v>UK Royal Family - Member; son of the late Queen Elizabeth II</v>
      </c>
    </row>
    <row r="465" ht="15.75" customHeight="1">
      <c r="A465" s="21" t="s">
        <v>618</v>
      </c>
      <c r="B465" s="21" t="s">
        <v>1947</v>
      </c>
      <c r="C465" s="21" t="s">
        <v>1948</v>
      </c>
      <c r="D465" s="21" t="str">
        <f t="shared" si="1"/>
        <v>Prince Andrew Charitable Trust - Founder (youth support; under investigation by Charity Commission)</v>
      </c>
    </row>
    <row r="466" ht="15.75" customHeight="1">
      <c r="A466" s="21" t="s">
        <v>618</v>
      </c>
      <c r="B466" s="21" t="s">
        <v>1949</v>
      </c>
      <c r="C466" s="21" t="s">
        <v>1950</v>
      </c>
      <c r="D466" s="21" t="str">
        <f t="shared" si="1"/>
        <v>Duke of York's Community Initiative - Involvement (formerly Yorkshire Foundation; dissolved 2023–2024)</v>
      </c>
    </row>
    <row r="467" ht="15.75" customHeight="1">
      <c r="A467" s="21" t="s">
        <v>618</v>
      </c>
      <c r="B467" s="21" t="s">
        <v>1951</v>
      </c>
      <c r="C467" s="21" t="s">
        <v>1188</v>
      </c>
      <c r="D467" s="21" t="str">
        <f t="shared" si="1"/>
        <v>Inspiring Digital Enterprise Award (iDEA) - Founder</v>
      </c>
    </row>
    <row r="468" ht="15.75" customHeight="1">
      <c r="A468" s="21" t="s">
        <v>618</v>
      </c>
      <c r="B468" s="21" t="s">
        <v>1952</v>
      </c>
      <c r="C468" s="21" t="s">
        <v>1953</v>
      </c>
      <c r="D468" s="21" t="str">
        <f t="shared" si="1"/>
        <v>Outward Bound Trust - Former Patron and Former Chairman of Board of Trustees (resigned November 2019)</v>
      </c>
    </row>
    <row r="469" ht="15.75" customHeight="1">
      <c r="A469" s="21" t="s">
        <v>618</v>
      </c>
      <c r="B469" s="21" t="s">
        <v>1954</v>
      </c>
      <c r="C469" s="21" t="s">
        <v>1955</v>
      </c>
      <c r="D469" s="21" t="str">
        <f t="shared" si="1"/>
        <v>UK Trade &amp; Investment - Former UK Special Representative for International Trade and Investment (2001–2011)</v>
      </c>
    </row>
    <row r="470" ht="15.75" customHeight="1">
      <c r="A470" s="21" t="s">
        <v>618</v>
      </c>
      <c r="B470" s="21" t="s">
        <v>1956</v>
      </c>
      <c r="D470" s="21" t="str">
        <f t="shared" si="1"/>
        <v>Former patron of: English National Ballet, Royal Philharmonic Orchestra, Middle East Association, Fight for Sight, TeenTech, Catalyst Inc., London Metropolitan University</v>
      </c>
    </row>
    <row r="471" ht="15.75" customHeight="1">
      <c r="A471" s="21" t="s">
        <v>625</v>
      </c>
      <c r="B471" s="21" t="s">
        <v>1957</v>
      </c>
      <c r="C471" s="21" t="s">
        <v>1958</v>
      </c>
      <c r="D471" s="21" t="str">
        <f t="shared" si="1"/>
        <v>Zimbabwe - President (1987–2017); Prime Minister (1980–1987)</v>
      </c>
    </row>
    <row r="472" ht="15.75" customHeight="1">
      <c r="A472" s="21" t="s">
        <v>625</v>
      </c>
      <c r="B472" s="21" t="s">
        <v>1959</v>
      </c>
      <c r="C472" s="21" t="s">
        <v>1960</v>
      </c>
      <c r="D472" s="21" t="str">
        <f t="shared" si="1"/>
        <v>ZANU–PF (Zimbabwe African National Union – Patriotic Front) - Founder/Leader and First Secretary (1980–2017)</v>
      </c>
    </row>
    <row r="473" ht="15.75" customHeight="1">
      <c r="A473" s="21" t="s">
        <v>625</v>
      </c>
      <c r="B473" s="21" t="s">
        <v>1961</v>
      </c>
      <c r="C473" s="21" t="s">
        <v>1962</v>
      </c>
      <c r="D473" s="21" t="str">
        <f t="shared" si="1"/>
        <v>ZANU (Zimbabwe African National Union) - Co-founder and President (from 1975)</v>
      </c>
    </row>
    <row r="474" ht="15.75" customHeight="1">
      <c r="A474" s="21" t="s">
        <v>625</v>
      </c>
      <c r="B474" s="21" t="s">
        <v>1963</v>
      </c>
      <c r="C474" s="21" t="s">
        <v>1964</v>
      </c>
      <c r="D474" s="21" t="str">
        <f t="shared" si="1"/>
        <v>Organisation of African Unity - Chairman (1997–1998)</v>
      </c>
    </row>
    <row r="475" ht="15.75" customHeight="1">
      <c r="A475" s="21" t="s">
        <v>625</v>
      </c>
      <c r="B475" s="21" t="s">
        <v>1965</v>
      </c>
      <c r="C475" s="21" t="s">
        <v>1966</v>
      </c>
      <c r="D475" s="21" t="str">
        <f t="shared" si="1"/>
        <v>African Union - Chairman (2015–2016)</v>
      </c>
    </row>
    <row r="476" ht="15.75" customHeight="1">
      <c r="A476" s="21" t="s">
        <v>625</v>
      </c>
      <c r="B476" s="21" t="s">
        <v>1408</v>
      </c>
      <c r="C476" s="21" t="s">
        <v>1967</v>
      </c>
      <c r="D476" s="21" t="str">
        <f t="shared" si="1"/>
        <v>Non-Aligned Movement - Chairman (1986–1989)</v>
      </c>
    </row>
    <row r="477" ht="15.75" customHeight="1">
      <c r="A477" s="21" t="s">
        <v>632</v>
      </c>
      <c r="B477" s="21" t="s">
        <v>1968</v>
      </c>
      <c r="C477" s="21" t="s">
        <v>1969</v>
      </c>
      <c r="D477" s="21" t="str">
        <f t="shared" si="1"/>
        <v>Tesla, Inc. - CEO and product architect (joined as early investor 2004; CEO since 2008)</v>
      </c>
    </row>
    <row r="478" ht="15.75" customHeight="1">
      <c r="A478" s="21" t="s">
        <v>632</v>
      </c>
      <c r="B478" s="21" t="s">
        <v>1970</v>
      </c>
      <c r="C478" s="21" t="s">
        <v>1971</v>
      </c>
      <c r="D478" s="21" t="str">
        <f t="shared" si="1"/>
        <v>SpaceX - Founder, CEO, and Chief Engineer (2002)</v>
      </c>
    </row>
    <row r="479" ht="15.75" customHeight="1">
      <c r="A479" s="21" t="s">
        <v>632</v>
      </c>
      <c r="B479" s="21" t="s">
        <v>1972</v>
      </c>
      <c r="C479" s="21" t="s">
        <v>1973</v>
      </c>
      <c r="D479" s="21" t="str">
        <f t="shared" si="1"/>
        <v>X Corp (formerly Twitter) - Owner (acquired 2022)</v>
      </c>
    </row>
    <row r="480" ht="15.75" customHeight="1">
      <c r="A480" s="21" t="s">
        <v>632</v>
      </c>
      <c r="B480" s="21" t="s">
        <v>1974</v>
      </c>
      <c r="C480" s="21" t="s">
        <v>1975</v>
      </c>
      <c r="D480" s="21" t="str">
        <f t="shared" si="1"/>
        <v>xAI - Founder (artificial intelligence company)</v>
      </c>
    </row>
    <row r="481" ht="15.75" customHeight="1">
      <c r="A481" s="21" t="s">
        <v>632</v>
      </c>
      <c r="B481" s="21" t="s">
        <v>1976</v>
      </c>
      <c r="C481" s="21" t="s">
        <v>1977</v>
      </c>
      <c r="D481" s="21" t="str">
        <f t="shared" si="1"/>
        <v>The Boring Company - Founder (tunnel infrastructure)</v>
      </c>
    </row>
    <row r="482" ht="15.75" customHeight="1">
      <c r="A482" s="21" t="s">
        <v>632</v>
      </c>
      <c r="B482" s="21" t="s">
        <v>1978</v>
      </c>
      <c r="C482" s="21" t="s">
        <v>1979</v>
      </c>
      <c r="D482" s="21" t="str">
        <f t="shared" si="1"/>
        <v>Neuralink - Co-founder (brain-computer interface)</v>
      </c>
    </row>
    <row r="483" ht="15.75" customHeight="1">
      <c r="A483" s="21" t="s">
        <v>632</v>
      </c>
      <c r="B483" s="21" t="s">
        <v>1980</v>
      </c>
      <c r="C483" s="21" t="s">
        <v>1981</v>
      </c>
      <c r="D483" s="21" t="str">
        <f t="shared" si="1"/>
        <v>Starlink - Division of SpaceX (satellite internet)</v>
      </c>
    </row>
    <row r="484" ht="15.75" customHeight="1">
      <c r="A484" s="21" t="s">
        <v>632</v>
      </c>
      <c r="B484" s="21" t="s">
        <v>1982</v>
      </c>
      <c r="C484" s="21" t="s">
        <v>1983</v>
      </c>
      <c r="D484" s="21" t="str">
        <f t="shared" si="1"/>
        <v>Department of Government Efficiency (DOGE) - Head (advisory role in Trump administration)</v>
      </c>
    </row>
    <row r="485" ht="15.75" customHeight="1">
      <c r="A485" s="21" t="s">
        <v>632</v>
      </c>
      <c r="B485" s="21" t="s">
        <v>1984</v>
      </c>
      <c r="C485" s="21" t="s">
        <v>1985</v>
      </c>
      <c r="D485" s="21" t="str">
        <f t="shared" si="1"/>
        <v>Musk Foundation - Chairman (philanthropic foundation)</v>
      </c>
    </row>
    <row r="486" ht="15.75" customHeight="1">
      <c r="A486" s="21" t="s">
        <v>632</v>
      </c>
      <c r="B486" s="21" t="s">
        <v>1441</v>
      </c>
      <c r="C486" s="21" t="s">
        <v>1986</v>
      </c>
      <c r="D486" s="21" t="str">
        <f t="shared" si="1"/>
        <v>Co - founder, Zip2 (sold to Compaq 1999) and X.com/PayPal (merged, sold to eBay 2002)</v>
      </c>
    </row>
    <row r="487" ht="15.75" customHeight="1">
      <c r="A487" s="21" t="s">
        <v>632</v>
      </c>
      <c r="B487" s="22" t="s">
        <v>1987</v>
      </c>
      <c r="D487" s="21" t="str">
        <f t="shared" si="1"/>
        <v>Net worth nearing $850 billion as of February 2026</v>
      </c>
    </row>
    <row r="488" ht="15.75" customHeight="1">
      <c r="A488" s="21" t="s">
        <v>640</v>
      </c>
      <c r="B488" s="21" t="s">
        <v>1988</v>
      </c>
      <c r="C488" s="21" t="s">
        <v>1989</v>
      </c>
      <c r="D488" s="21" t="str">
        <f t="shared" si="1"/>
        <v>The Kitchen Restaurant Group - Co-founder &amp; Executive Chairman (farm-to-table restaurants)</v>
      </c>
    </row>
    <row r="489" ht="15.75" customHeight="1">
      <c r="A489" s="21" t="s">
        <v>640</v>
      </c>
      <c r="B489" s="21" t="s">
        <v>1990</v>
      </c>
      <c r="C489" s="21" t="s">
        <v>1991</v>
      </c>
      <c r="D489" s="21" t="str">
        <f t="shared" si="1"/>
        <v>Square Roots - Co-founder &amp; Executive Chairman (urban indoor farming)</v>
      </c>
    </row>
    <row r="490" ht="15.75" customHeight="1">
      <c r="A490" s="21" t="s">
        <v>640</v>
      </c>
      <c r="B490" s="21" t="s">
        <v>1992</v>
      </c>
      <c r="C490" s="21" t="s">
        <v>1993</v>
      </c>
      <c r="D490" s="21" t="str">
        <f t="shared" si="1"/>
        <v>Big Green - Co-founder (nonprofit; learning gardens in schools)</v>
      </c>
    </row>
    <row r="491" ht="15.75" customHeight="1">
      <c r="A491" s="21" t="s">
        <v>640</v>
      </c>
      <c r="B491" s="21" t="s">
        <v>1968</v>
      </c>
      <c r="C491" s="21" t="s">
        <v>1994</v>
      </c>
      <c r="D491" s="21" t="str">
        <f t="shared" si="1"/>
        <v>Tesla, Inc. - Board Member (since 2008)</v>
      </c>
    </row>
    <row r="492" ht="15.75" customHeight="1">
      <c r="A492" s="21" t="s">
        <v>640</v>
      </c>
      <c r="B492" s="21" t="s">
        <v>1970</v>
      </c>
      <c r="C492" s="21" t="s">
        <v>1995</v>
      </c>
      <c r="D492" s="21" t="str">
        <f t="shared" si="1"/>
        <v>SpaceX - Board Member (2003–2025)</v>
      </c>
    </row>
    <row r="493" ht="15.75" customHeight="1">
      <c r="A493" s="21" t="s">
        <v>640</v>
      </c>
      <c r="B493" s="21" t="s">
        <v>1996</v>
      </c>
      <c r="C493" s="21" t="s">
        <v>1997</v>
      </c>
      <c r="D493" s="21" t="str">
        <f t="shared" si="1"/>
        <v>Chipotle Mexican Grill - Former Board Member (2013–2019)</v>
      </c>
    </row>
    <row r="494" ht="15.75" customHeight="1">
      <c r="A494" s="21" t="s">
        <v>640</v>
      </c>
      <c r="B494" s="21" t="s">
        <v>1441</v>
      </c>
      <c r="C494" s="21" t="s">
        <v>1998</v>
      </c>
      <c r="D494" s="21" t="str">
        <f t="shared" si="1"/>
        <v>Co - founder, Zip2 (with Elon Musk; sold 1999)</v>
      </c>
    </row>
    <row r="495" ht="15.75" customHeight="1">
      <c r="A495" s="21" t="s">
        <v>640</v>
      </c>
      <c r="B495" s="21" t="s">
        <v>1999</v>
      </c>
      <c r="D495" s="21" t="str">
        <f t="shared" si="1"/>
        <v>Major shareholder in Tesla</v>
      </c>
    </row>
    <row r="496" ht="15.75" customHeight="1">
      <c r="A496" s="21" t="s">
        <v>646</v>
      </c>
      <c r="B496" s="21" t="s">
        <v>2000</v>
      </c>
      <c r="C496" s="21" t="s">
        <v>2001</v>
      </c>
      <c r="D496" s="21" t="str">
        <f t="shared" si="1"/>
        <v>Mirabai Films - Founder (production company)</v>
      </c>
    </row>
    <row r="497" ht="15.75" customHeight="1">
      <c r="A497" s="21" t="s">
        <v>646</v>
      </c>
      <c r="B497" s="21" t="s">
        <v>2002</v>
      </c>
      <c r="C497" s="21" t="s">
        <v>2003</v>
      </c>
      <c r="D497" s="21" t="str">
        <f t="shared" si="1"/>
        <v>Salaam Baalak Trust - Founder (1988/1998; nonprofit for street children in India)</v>
      </c>
    </row>
    <row r="498" ht="15.75" customHeight="1">
      <c r="A498" s="21" t="s">
        <v>646</v>
      </c>
      <c r="B498" s="21" t="s">
        <v>2004</v>
      </c>
      <c r="C498" s="21" t="s">
        <v>2005</v>
      </c>
      <c r="D498" s="21" t="str">
        <f t="shared" si="1"/>
        <v>Maisha Film Lab - Founder (2004/2005; nonprofit training program for East African filmmakers, Kampala, Uganda)</v>
      </c>
    </row>
    <row r="499" ht="15.75" customHeight="1">
      <c r="A499" s="21" t="s">
        <v>652</v>
      </c>
      <c r="B499" s="21" t="s">
        <v>2006</v>
      </c>
      <c r="D499" s="21" t="str">
        <f t="shared" si="1"/>
        <v>Appeared on reality TV series *Ladies of London*</v>
      </c>
    </row>
    <row r="500" ht="15.75" customHeight="1">
      <c r="A500" s="21" t="s">
        <v>652</v>
      </c>
      <c r="B500" s="21" t="s">
        <v>2007</v>
      </c>
      <c r="D500" s="21" t="str">
        <f t="shared" si="1"/>
        <v>Involved with Nelson Mandela Children's Fund</v>
      </c>
    </row>
    <row r="501" ht="15.75" customHeight="1">
      <c r="A501" s="21" t="s">
        <v>652</v>
      </c>
      <c r="B501" s="21" t="s">
        <v>2008</v>
      </c>
      <c r="D501" s="21" t="str">
        <f t="shared" si="1"/>
        <v>Participated in Naomi Campbell's Fashion for Relief fundraisers</v>
      </c>
    </row>
    <row r="502" ht="15.75" customHeight="1">
      <c r="A502" s="21" t="s">
        <v>660</v>
      </c>
      <c r="B502" s="21" t="s">
        <v>2009</v>
      </c>
      <c r="C502" s="21" t="s">
        <v>2010</v>
      </c>
      <c r="D502" s="21" t="str">
        <f t="shared" si="1"/>
        <v>Poetry in America - Founder, Director &amp; Host (PBS series and educational initiative)</v>
      </c>
    </row>
    <row r="503" ht="15.75" customHeight="1">
      <c r="A503" s="21" t="s">
        <v>660</v>
      </c>
      <c r="B503" s="21" t="s">
        <v>2011</v>
      </c>
      <c r="C503" s="21" t="s">
        <v>2012</v>
      </c>
      <c r="D503" s="21" t="str">
        <f t="shared" si="1"/>
        <v>Verse Video Education - Founder (nonprofit producing educational media)</v>
      </c>
    </row>
    <row r="504" ht="15.75" customHeight="1">
      <c r="A504" s="21" t="s">
        <v>660</v>
      </c>
      <c r="B504" s="21" t="s">
        <v>2013</v>
      </c>
      <c r="C504" s="21" t="s">
        <v>2014</v>
      </c>
      <c r="D504" s="21" t="str">
        <f t="shared" si="1"/>
        <v>Arizona State University - Former Director, Educational Media Innovation Studio (2019–2025; fired over Epstein ties)</v>
      </c>
    </row>
    <row r="505" ht="15.75" customHeight="1">
      <c r="A505" s="21" t="s">
        <v>660</v>
      </c>
      <c r="B505" s="21" t="s">
        <v>2015</v>
      </c>
      <c r="C505" s="21" t="s">
        <v>2016</v>
      </c>
      <c r="D505" s="21" t="str">
        <f t="shared" si="1"/>
        <v>Harvard University - Former Powell M. Cabot Professor of American Literature (1999–2019)</v>
      </c>
    </row>
    <row r="506" ht="15.75" customHeight="1">
      <c r="A506" s="21" t="s">
        <v>667</v>
      </c>
      <c r="B506" s="21" t="s">
        <v>2017</v>
      </c>
      <c r="C506" s="21" t="s">
        <v>2018</v>
      </c>
      <c r="D506" s="21" t="str">
        <f t="shared" si="1"/>
        <v>Biomatics Capital Partners - Co-founder &amp; Managing Director (healthcare/life sciences venture firm; $200M debut fund)</v>
      </c>
    </row>
    <row r="507" ht="15.75" customHeight="1">
      <c r="A507" s="21" t="s">
        <v>667</v>
      </c>
      <c r="B507" s="21" t="s">
        <v>2019</v>
      </c>
      <c r="D507" s="21" t="str">
        <f t="shared" si="1"/>
        <v>Former Chief Advisor for Science and Technology to Bill Gates</v>
      </c>
    </row>
    <row r="508" ht="15.75" customHeight="1">
      <c r="A508" s="21" t="s">
        <v>667</v>
      </c>
      <c r="B508" s="21" t="s">
        <v>2020</v>
      </c>
      <c r="D508" s="21" t="str">
        <f t="shared" si="1"/>
        <v>Advisor to Gates' bgc3 (Catalyst 3) and the Bill and Melinda Gates Foundation</v>
      </c>
    </row>
    <row r="509" ht="15.75" customHeight="1">
      <c r="A509" s="21" t="s">
        <v>667</v>
      </c>
      <c r="B509" s="21" t="s">
        <v>2021</v>
      </c>
      <c r="D509" s="21" t="str">
        <f t="shared" si="1"/>
        <v>Led investments in: Editas Medicine, Twist Biosciences, Grail, Denali Therapeutics, AiCure, ResearchGate</v>
      </c>
    </row>
    <row r="510" ht="15.75" customHeight="1">
      <c r="A510" s="21" t="s">
        <v>675</v>
      </c>
      <c r="B510" s="21" t="s">
        <v>2015</v>
      </c>
      <c r="C510" s="21" t="s">
        <v>2022</v>
      </c>
      <c r="D510" s="21" t="str">
        <f t="shared" si="1"/>
        <v>Harvard University - Professor of Mathematics and Biology</v>
      </c>
    </row>
    <row r="511" ht="15.75" customHeight="1">
      <c r="A511" s="21" t="s">
        <v>675</v>
      </c>
      <c r="B511" s="21" t="s">
        <v>2023</v>
      </c>
      <c r="C511" s="21" t="s">
        <v>2024</v>
      </c>
      <c r="D511" s="21" t="str">
        <f t="shared" si="1"/>
        <v>Program for Evolutionary Dynamics (Harvard) - Founder &amp; Former Director (2003–2020; program closed due to Epstein ties)</v>
      </c>
    </row>
    <row r="512" ht="15.75" customHeight="1">
      <c r="A512" s="21" t="s">
        <v>675</v>
      </c>
      <c r="B512" s="21" t="s">
        <v>2025</v>
      </c>
      <c r="C512" s="21" t="s">
        <v>2026</v>
      </c>
      <c r="D512" s="21" t="str">
        <f t="shared" si="1"/>
        <v>Former researcher at the Institute for Advanced Study (Princeton) - Headed first program in theoretical biology</v>
      </c>
    </row>
    <row r="513" ht="15.75" customHeight="1">
      <c r="A513" s="21" t="s">
        <v>683</v>
      </c>
      <c r="B513" s="21" t="s">
        <v>2027</v>
      </c>
      <c r="C513" s="21" t="s">
        <v>2028</v>
      </c>
      <c r="D513" s="21" t="str">
        <f t="shared" si="1"/>
        <v>Serpentine Galleries (London) - Artistic Director (since 2006)</v>
      </c>
    </row>
    <row r="514" ht="15.75" customHeight="1">
      <c r="A514" s="21" t="s">
        <v>683</v>
      </c>
      <c r="B514" s="21" t="s">
        <v>2029</v>
      </c>
      <c r="C514" s="21" t="s">
        <v>2030</v>
      </c>
      <c r="D514" s="21" t="str">
        <f t="shared" si="1"/>
        <v>LUMA Arles - Senior Adviser</v>
      </c>
    </row>
    <row r="515" ht="15.75" customHeight="1">
      <c r="A515" s="21" t="s">
        <v>683</v>
      </c>
      <c r="B515" s="21" t="s">
        <v>2031</v>
      </c>
      <c r="C515" s="21" t="s">
        <v>2032</v>
      </c>
      <c r="D515" s="21" t="str">
        <f t="shared" si="1"/>
        <v>The Shed (New York) - Artistic Adviser (since 2018)</v>
      </c>
    </row>
    <row r="516" ht="15.75" customHeight="1">
      <c r="A516" s="21" t="s">
        <v>683</v>
      </c>
      <c r="B516" s="21" t="s">
        <v>2033</v>
      </c>
      <c r="C516" s="21" t="s">
        <v>2034</v>
      </c>
      <c r="D516" s="21" t="str">
        <f t="shared" si="1"/>
        <v>Garage Museum of Contemporary Art (Moscow) - International Programs Advisor (since 2018)</v>
      </c>
    </row>
    <row r="517" ht="15.75" customHeight="1">
      <c r="A517" s="21" t="s">
        <v>683</v>
      </c>
      <c r="B517" s="21" t="s">
        <v>1441</v>
      </c>
      <c r="C517" s="21" t="s">
        <v>2035</v>
      </c>
      <c r="D517" s="21" t="str">
        <f t="shared" si="1"/>
        <v>Co - editor, *Cahiers d'Art* review</v>
      </c>
    </row>
    <row r="518" ht="15.75" customHeight="1">
      <c r="A518" s="21" t="s">
        <v>683</v>
      </c>
      <c r="B518" s="21" t="s">
        <v>2036</v>
      </c>
      <c r="D518" s="21" t="str">
        <f t="shared" si="1"/>
        <v>Former Curator, Musée d'Art Moderne de la Ville de Paris</v>
      </c>
    </row>
    <row r="519" ht="15.75" customHeight="1">
      <c r="A519" s="21" t="s">
        <v>690</v>
      </c>
      <c r="B519" s="21" t="s">
        <v>2037</v>
      </c>
      <c r="C519" s="21" t="s">
        <v>2038</v>
      </c>
      <c r="D519" s="21" t="str">
        <f t="shared" si="1"/>
        <v>Centers for Medicare and Medicaid Services (CMS) - Nominated Administrator by President Trump</v>
      </c>
    </row>
    <row r="520" ht="15.75" customHeight="1">
      <c r="A520" s="21" t="s">
        <v>690</v>
      </c>
      <c r="B520" s="21" t="s">
        <v>2039</v>
      </c>
      <c r="C520" s="21" t="s">
        <v>2040</v>
      </c>
      <c r="D520" s="21" t="str">
        <f t="shared" si="1"/>
        <v>The Dr. Oz Show - Former host (syndicated TV show)</v>
      </c>
    </row>
    <row r="521" ht="15.75" customHeight="1">
      <c r="A521" s="21" t="s">
        <v>690</v>
      </c>
      <c r="B521" s="21" t="s">
        <v>2041</v>
      </c>
      <c r="C521" s="21" t="s">
        <v>2042</v>
      </c>
      <c r="D521" s="21" t="str">
        <f t="shared" si="1"/>
        <v>Columbia University - Former Vice Chairman and Professor of Surgery, Department of Surgery</v>
      </c>
    </row>
    <row r="522" ht="15.75" customHeight="1">
      <c r="A522" s="21" t="s">
        <v>690</v>
      </c>
      <c r="B522" s="21" t="s">
        <v>2043</v>
      </c>
      <c r="C522" s="21" t="s">
        <v>2044</v>
      </c>
      <c r="D522" s="21" t="str">
        <f t="shared" si="1"/>
        <v>HealthCorps - Co-founder (teen health education nonprofit)</v>
      </c>
    </row>
    <row r="523" ht="15.75" customHeight="1">
      <c r="A523" s="21" t="s">
        <v>690</v>
      </c>
      <c r="B523" s="21" t="s">
        <v>2045</v>
      </c>
      <c r="D523" s="21" t="str">
        <f t="shared" si="1"/>
        <v>Significant investment holdings in: Inception Fertility, UnitedHealth Group, Nvidia, AbbVie, Walmart, Apple, and numerous other companies</v>
      </c>
    </row>
    <row r="524" ht="15.75" customHeight="1">
      <c r="A524" s="21" t="s">
        <v>698</v>
      </c>
      <c r="B524" s="21" t="s">
        <v>2046</v>
      </c>
      <c r="C524" s="21" t="s">
        <v>2047</v>
      </c>
      <c r="D524" s="21" t="str">
        <f t="shared" si="1"/>
        <v>Colombia - Former President (1998–2002)</v>
      </c>
    </row>
    <row r="525" ht="15.75" customHeight="1">
      <c r="A525" s="21" t="s">
        <v>698</v>
      </c>
      <c r="B525" s="21" t="s">
        <v>2048</v>
      </c>
      <c r="C525" s="21" t="s">
        <v>2049</v>
      </c>
      <c r="D525" s="21" t="str">
        <f t="shared" si="1"/>
        <v>Centrist Democrat International (IDC) - President (2015–present)</v>
      </c>
    </row>
    <row r="526" ht="15.75" customHeight="1">
      <c r="A526" s="21" t="s">
        <v>698</v>
      </c>
      <c r="B526" s="21" t="s">
        <v>2050</v>
      </c>
      <c r="C526" s="21" t="s">
        <v>2051</v>
      </c>
      <c r="D526" s="21" t="str">
        <f t="shared" si="1"/>
        <v>New Democratic Force - Founder (political movement, 1991)</v>
      </c>
    </row>
    <row r="527" ht="15.75" customHeight="1">
      <c r="A527" s="21" t="s">
        <v>698</v>
      </c>
      <c r="B527" s="21" t="s">
        <v>2052</v>
      </c>
      <c r="C527" s="21" t="s">
        <v>2053</v>
      </c>
      <c r="D527" s="21" t="str">
        <f t="shared" si="1"/>
        <v>Hoy (television news program) - Founder (1979)</v>
      </c>
    </row>
    <row r="528" ht="15.75" customHeight="1">
      <c r="A528" s="21" t="s">
        <v>698</v>
      </c>
      <c r="B528" s="21" t="s">
        <v>2054</v>
      </c>
      <c r="C528" s="21" t="s">
        <v>2055</v>
      </c>
      <c r="D528" s="21" t="str">
        <f t="shared" si="1"/>
        <v>Guión Review - Co-founder (1978)</v>
      </c>
    </row>
    <row r="529" ht="15.75" customHeight="1">
      <c r="A529" s="21" t="s">
        <v>698</v>
      </c>
      <c r="B529" s="21" t="s">
        <v>2056</v>
      </c>
      <c r="C529" s="21" t="s">
        <v>2057</v>
      </c>
      <c r="D529" s="21" t="str">
        <f t="shared" si="1"/>
        <v>Club de Madrid - Full Member</v>
      </c>
    </row>
    <row r="530" ht="15.75" customHeight="1">
      <c r="A530" s="21" t="s">
        <v>698</v>
      </c>
      <c r="B530" s="21" t="s">
        <v>2058</v>
      </c>
      <c r="C530" s="21" t="s">
        <v>2059</v>
      </c>
      <c r="D530" s="21" t="str">
        <f t="shared" si="1"/>
        <v>Former Colombian Ambassador to the United States (2005 - 2006)</v>
      </c>
    </row>
    <row r="531" ht="15.75" customHeight="1">
      <c r="A531" s="21" t="s">
        <v>698</v>
      </c>
      <c r="B531" s="21" t="s">
        <v>2060</v>
      </c>
      <c r="D531" s="21" t="str">
        <f t="shared" si="1"/>
        <v>Architect of Plan Colombia</v>
      </c>
    </row>
    <row r="532" ht="15.75" customHeight="1">
      <c r="A532" s="21" t="s">
        <v>891</v>
      </c>
      <c r="B532" s="21" t="s">
        <v>2061</v>
      </c>
      <c r="D532" s="21" t="str">
        <f t="shared" si="1"/>
        <v>None - Publicly available information supports only the claim that Serrano earns income as an independent artist through his practice and representation, and does not document any explicit ownership or profit‑beneficiary role in external organizations</v>
      </c>
    </row>
    <row r="533" ht="15.75" customHeight="1">
      <c r="A533" s="21" t="s">
        <v>712</v>
      </c>
      <c r="B533" s="21" t="s">
        <v>2062</v>
      </c>
      <c r="C533" s="21" t="s">
        <v>2063</v>
      </c>
      <c r="D533" s="21" t="str">
        <f t="shared" si="1"/>
        <v>Contemporary African Art Collection (CAAC — The Pigozzi Collection) - Founder (1989; world's largest private collection of contemporary African art, 10,000+ works)</v>
      </c>
    </row>
    <row r="534" ht="15.75" customHeight="1">
      <c r="A534" s="21" t="s">
        <v>712</v>
      </c>
      <c r="B534" s="21" t="s">
        <v>2064</v>
      </c>
      <c r="C534" s="21" t="s">
        <v>2065</v>
      </c>
      <c r="D534" s="21" t="str">
        <f t="shared" si="1"/>
        <v>Japigozzi Collection - Founder (contemporary Japanese art, 2006)</v>
      </c>
    </row>
    <row r="535" ht="15.75" customHeight="1">
      <c r="A535" s="21" t="s">
        <v>712</v>
      </c>
      <c r="B535" s="21" t="s">
        <v>2066</v>
      </c>
      <c r="D535" s="21" t="str">
        <f t="shared" si="1"/>
        <v>Heir to the CEO of Simca (French automobile manufacturer, via his father Henri Pigozzi)</v>
      </c>
    </row>
    <row r="536" ht="15.75" customHeight="1">
      <c r="A536" s="21" t="s">
        <v>712</v>
      </c>
      <c r="B536" s="21" t="s">
        <v>2067</v>
      </c>
      <c r="C536" s="21" t="s">
        <v>2068</v>
      </c>
      <c r="D536" s="21" t="str">
        <f t="shared" si="1"/>
        <v>Investor in high - tech companies</v>
      </c>
    </row>
    <row r="537" ht="15.75" customHeight="1">
      <c r="A537" s="21" t="s">
        <v>712</v>
      </c>
      <c r="B537" s="21" t="s">
        <v>2069</v>
      </c>
      <c r="D537" s="21" t="str">
        <f t="shared" si="1"/>
        <v>Photographer, fashion designer, and philanthropist</v>
      </c>
    </row>
    <row r="538" ht="15.75" customHeight="1">
      <c r="A538" s="21" t="s">
        <v>719</v>
      </c>
      <c r="B538" s="21" t="s">
        <v>2015</v>
      </c>
      <c r="C538" s="21" t="s">
        <v>2070</v>
      </c>
      <c r="D538" s="21" t="str">
        <f t="shared" si="1"/>
        <v>Harvard University - Johnstone Family Professor of Psychology (since 2003)</v>
      </c>
    </row>
    <row r="539" ht="15.75" customHeight="1">
      <c r="A539" s="21" t="s">
        <v>719</v>
      </c>
      <c r="B539" s="21" t="s">
        <v>2071</v>
      </c>
      <c r="C539" s="21" t="s">
        <v>2072</v>
      </c>
      <c r="D539" s="21" t="str">
        <f t="shared" si="1"/>
        <v>Former Director, Center for Cognitive Neuroscience, MIT (1994 - 1999)</v>
      </c>
    </row>
    <row r="540" ht="15.75" customHeight="1">
      <c r="A540" s="21" t="s">
        <v>719</v>
      </c>
      <c r="B540" s="21" t="s">
        <v>2073</v>
      </c>
      <c r="C540" s="21" t="s">
        <v>2074</v>
      </c>
      <c r="D540" s="21" t="str">
        <f t="shared" si="1"/>
        <v>Former Co - Director, Center for Cognitive Science, MIT (1985–1994)</v>
      </c>
    </row>
    <row r="541" ht="15.75" customHeight="1">
      <c r="A541" s="21" t="s">
        <v>719</v>
      </c>
      <c r="B541" s="21" t="s">
        <v>2075</v>
      </c>
      <c r="D541" s="21" t="str">
        <f t="shared" si="1"/>
        <v>Member, American Academy of Arts and Sciences</v>
      </c>
    </row>
    <row r="542" ht="15.75" customHeight="1">
      <c r="A542" s="21" t="s">
        <v>719</v>
      </c>
      <c r="B542" s="21" t="s">
        <v>2076</v>
      </c>
      <c r="D542" s="21" t="str">
        <f t="shared" si="1"/>
        <v>Author of multiple bestselling books on language, cognition, and human nature</v>
      </c>
    </row>
    <row r="543" ht="15.75" customHeight="1">
      <c r="A543" s="21" t="s">
        <v>705</v>
      </c>
      <c r="B543" s="21" t="s">
        <v>2077</v>
      </c>
      <c r="C543" s="21" t="s">
        <v>2078</v>
      </c>
      <c r="D543" s="21" t="str">
        <f t="shared" si="1"/>
        <v>MSD Capital LP - Co-founder &amp; Chairman Emeritus (private investment firm for Michael Dell, founded 1998)</v>
      </c>
    </row>
    <row r="544" ht="15.75" customHeight="1">
      <c r="A544" s="21" t="s">
        <v>705</v>
      </c>
      <c r="B544" s="21" t="s">
        <v>2079</v>
      </c>
      <c r="C544" s="21" t="s">
        <v>2080</v>
      </c>
      <c r="D544" s="21" t="str">
        <f t="shared" si="1"/>
        <v>MSD Partners LP - Co-founder (SEC-registered investment advisor, 2009)</v>
      </c>
    </row>
    <row r="545" ht="15.75" customHeight="1">
      <c r="A545" s="21" t="s">
        <v>705</v>
      </c>
      <c r="B545" s="21" t="s">
        <v>2081</v>
      </c>
      <c r="C545" s="21" t="s">
        <v>1188</v>
      </c>
      <c r="D545" s="21" t="str">
        <f t="shared" si="1"/>
        <v>MSD Acquisition Corp. - Founder</v>
      </c>
    </row>
    <row r="546" ht="15.75" customHeight="1">
      <c r="A546" s="21" t="s">
        <v>705</v>
      </c>
      <c r="B546" s="21" t="s">
        <v>2082</v>
      </c>
      <c r="C546" s="21" t="s">
        <v>2083</v>
      </c>
      <c r="D546" s="21" t="str">
        <f t="shared" si="1"/>
        <v>DFO Management (Private Equity) - Co-founder (1997)</v>
      </c>
    </row>
    <row r="547" ht="15.75" customHeight="1">
      <c r="A547" s="21" t="s">
        <v>705</v>
      </c>
      <c r="B547" s="21" t="s">
        <v>2084</v>
      </c>
      <c r="C547" s="21" t="s">
        <v>2085</v>
      </c>
      <c r="D547" s="21" t="str">
        <f t="shared" si="1"/>
        <v>Rugger Management LLC - Co-founder &amp; Chairman (private investment firm)</v>
      </c>
    </row>
    <row r="548" ht="15.75" customHeight="1">
      <c r="A548" s="21" t="s">
        <v>705</v>
      </c>
      <c r="B548" s="21" t="s">
        <v>2086</v>
      </c>
      <c r="D548" s="21" t="str">
        <f t="shared" si="1"/>
        <v>Board memberships: Whitney Museum of American Art, Aspen Art Museum (Chairman), Cold Spring Harbor Laboratory, Spirit of America, Third Option Foundation, Harvard Business School Board of Dean's Advisors, LSE North American Advisory Board</v>
      </c>
    </row>
    <row r="549" ht="15.75" customHeight="1">
      <c r="A549" s="21" t="s">
        <v>727</v>
      </c>
      <c r="B549" s="21" t="s">
        <v>2087</v>
      </c>
      <c r="C549" s="21" t="s">
        <v>2088</v>
      </c>
      <c r="D549" s="21" t="str">
        <f t="shared" si="1"/>
        <v>U.S. House of Representatives - Delegate from the U.S. Virgin Islands (since 2015)</v>
      </c>
    </row>
    <row r="550" ht="15.75" customHeight="1">
      <c r="A550" s="21" t="s">
        <v>727</v>
      </c>
      <c r="B550" s="21" t="s">
        <v>2089</v>
      </c>
      <c r="D550" s="21" t="str">
        <f t="shared" si="1"/>
        <v>Member of: House Permanent Select Committee on Intelligence, Ways and Means Committee, Budget Committee</v>
      </c>
    </row>
    <row r="551" ht="15.75" customHeight="1">
      <c r="A551" s="21" t="s">
        <v>727</v>
      </c>
      <c r="B551" s="21" t="s">
        <v>2090</v>
      </c>
      <c r="C551" s="21" t="s">
        <v>2091</v>
      </c>
      <c r="D551" s="21" t="str">
        <f t="shared" si="1"/>
        <v>Former General Counsel, Virgin Islands Economic Development Authority (2007 - 2014)</v>
      </c>
    </row>
    <row r="552" ht="15.75" customHeight="1">
      <c r="A552" s="21" t="s">
        <v>727</v>
      </c>
      <c r="B552" s="21" t="s">
        <v>2092</v>
      </c>
      <c r="D552" s="21" t="str">
        <f t="shared" si="1"/>
        <v>Former Deputy General Counsel, UnitedHealth Group</v>
      </c>
    </row>
    <row r="553" ht="15.75" customHeight="1">
      <c r="A553" s="21" t="s">
        <v>727</v>
      </c>
      <c r="B553" s="21" t="s">
        <v>2093</v>
      </c>
      <c r="D553" s="21" t="str">
        <f t="shared" si="1"/>
        <v>Former Senior Counsel, U.S. Department of Justice</v>
      </c>
    </row>
    <row r="554" ht="15.75" customHeight="1">
      <c r="A554" s="21" t="s">
        <v>735</v>
      </c>
      <c r="B554" s="21" t="s">
        <v>2094</v>
      </c>
      <c r="C554" s="21" t="s">
        <v>2095</v>
      </c>
      <c r="D554" s="21" t="str">
        <f t="shared" si="1"/>
        <v>4chan - Founder (2003; sold to Hiroyuki Nishimura in 2015)</v>
      </c>
    </row>
    <row r="555" ht="15.75" customHeight="1">
      <c r="A555" s="21" t="s">
        <v>735</v>
      </c>
      <c r="B555" s="21" t="s">
        <v>2096</v>
      </c>
      <c r="C555" s="21" t="s">
        <v>2097</v>
      </c>
      <c r="D555" s="21" t="str">
        <f t="shared" si="1"/>
        <v>DrawQuest - Founder (mobile drawing app; shut down 2014)</v>
      </c>
    </row>
    <row r="556" ht="15.75" customHeight="1">
      <c r="A556" s="21" t="s">
        <v>735</v>
      </c>
      <c r="B556" s="21" t="s">
        <v>1366</v>
      </c>
      <c r="C556" s="21" t="s">
        <v>2098</v>
      </c>
      <c r="D556" s="21" t="str">
        <f t="shared" si="1"/>
        <v>Google - Former employee (2016–2021; worked on Google Photos, Maps, and startup incubator Area 120)</v>
      </c>
    </row>
    <row r="557" ht="15.75" customHeight="1">
      <c r="A557" s="21" t="s">
        <v>755</v>
      </c>
      <c r="B557" s="21" t="s">
        <v>2099</v>
      </c>
      <c r="C557" s="21" t="s">
        <v>2100</v>
      </c>
      <c r="D557" s="21" t="str">
        <f t="shared" si="1"/>
        <v>PSP Partners - Founder &amp; Chairman (private investment firm, 2011)</v>
      </c>
    </row>
    <row r="558" ht="15.75" customHeight="1">
      <c r="A558" s="21" t="s">
        <v>755</v>
      </c>
      <c r="B558" s="21" t="s">
        <v>2101</v>
      </c>
      <c r="C558" s="21" t="s">
        <v>2102</v>
      </c>
      <c r="D558" s="21" t="str">
        <f t="shared" si="1"/>
        <v>PSP Capital - Founder (buyout fund within PSP Partners)</v>
      </c>
    </row>
    <row r="559" ht="15.75" customHeight="1">
      <c r="A559" s="21" t="s">
        <v>755</v>
      </c>
      <c r="B559" s="21" t="s">
        <v>2103</v>
      </c>
      <c r="C559" s="21" t="s">
        <v>1834</v>
      </c>
      <c r="D559" s="21" t="str">
        <f t="shared" si="1"/>
        <v>PSP Growth - Founder (venture capital arm)</v>
      </c>
    </row>
    <row r="560" ht="15.75" customHeight="1">
      <c r="A560" s="21" t="s">
        <v>755</v>
      </c>
      <c r="B560" s="21" t="s">
        <v>2104</v>
      </c>
      <c r="C560" s="21" t="s">
        <v>2105</v>
      </c>
      <c r="D560" s="21" t="str">
        <f t="shared" si="1"/>
        <v>Pritzker Realty Group - Founder (1991; real estate investment)</v>
      </c>
    </row>
    <row r="561" ht="15.75" customHeight="1">
      <c r="A561" s="21" t="s">
        <v>755</v>
      </c>
      <c r="B561" s="21" t="s">
        <v>2106</v>
      </c>
      <c r="C561" s="21" t="s">
        <v>2107</v>
      </c>
      <c r="D561" s="21" t="str">
        <f t="shared" si="1"/>
        <v>Vi Senior Living - Founder (1987; formerly Classic Residence by Hyatt)</v>
      </c>
    </row>
    <row r="562" ht="15.75" customHeight="1">
      <c r="A562" s="21" t="s">
        <v>755</v>
      </c>
      <c r="B562" s="21" t="s">
        <v>2108</v>
      </c>
      <c r="C562" s="21" t="s">
        <v>2109</v>
      </c>
      <c r="D562" s="21" t="str">
        <f t="shared" si="1"/>
        <v>The Parking Spot - Co-founder (1998)</v>
      </c>
    </row>
    <row r="563" ht="15.75" customHeight="1">
      <c r="A563" s="21" t="s">
        <v>755</v>
      </c>
      <c r="B563" s="21" t="s">
        <v>2110</v>
      </c>
      <c r="C563" s="21" t="s">
        <v>1172</v>
      </c>
      <c r="D563" s="21" t="str">
        <f t="shared" si="1"/>
        <v>Artemis Real Estate Partners - Co-founder</v>
      </c>
    </row>
    <row r="564" ht="15.75" customHeight="1">
      <c r="A564" s="21" t="s">
        <v>755</v>
      </c>
      <c r="B564" s="21" t="s">
        <v>2111</v>
      </c>
      <c r="C564" s="21" t="s">
        <v>1172</v>
      </c>
      <c r="D564" s="21" t="str">
        <f t="shared" si="1"/>
        <v>Inspired Capital Partners - Co-founder</v>
      </c>
    </row>
    <row r="565" ht="15.75" customHeight="1">
      <c r="A565" s="21" t="s">
        <v>755</v>
      </c>
      <c r="B565" s="21" t="s">
        <v>1835</v>
      </c>
      <c r="C565" s="21" t="s">
        <v>2112</v>
      </c>
      <c r="D565" s="21" t="str">
        <f t="shared" si="1"/>
        <v>U.S. Department of Commerce - Former Secretary of Commerce (2013–2017, Obama administration)</v>
      </c>
    </row>
    <row r="566" ht="15.75" customHeight="1">
      <c r="A566" s="21" t="s">
        <v>755</v>
      </c>
      <c r="B566" s="21" t="s">
        <v>2113</v>
      </c>
      <c r="D566" s="21" t="str">
        <f t="shared" si="1"/>
        <v>Board memberships: Microsoft Corporation, Icertis, DEPT</v>
      </c>
    </row>
    <row r="567" ht="15.75" customHeight="1">
      <c r="A567" s="21" t="s">
        <v>755</v>
      </c>
      <c r="B567" s="21" t="s">
        <v>2114</v>
      </c>
      <c r="D567" s="21" t="str">
        <f t="shared" si="1"/>
        <v>Former board memberships: Hyatt Hotels Corp., TransUnion, Marmon Group, Wm. Wrigley Jr. Co., LaSalle Bank</v>
      </c>
    </row>
    <row r="568" ht="15.75" customHeight="1">
      <c r="A568" s="21" t="s">
        <v>762</v>
      </c>
      <c r="B568" s="21" t="s">
        <v>2115</v>
      </c>
      <c r="C568" s="21" t="s">
        <v>2116</v>
      </c>
      <c r="D568" s="21" t="str">
        <f t="shared" si="1"/>
        <v>The Pritzker Organization (TPO) - Chairman &amp; CEO (family merchant bank)</v>
      </c>
    </row>
    <row r="569" ht="15.75" customHeight="1">
      <c r="A569" s="21" t="s">
        <v>762</v>
      </c>
      <c r="B569" s="21" t="s">
        <v>2117</v>
      </c>
      <c r="C569" s="21" t="s">
        <v>2118</v>
      </c>
      <c r="D569" s="21" t="str">
        <f t="shared" si="1"/>
        <v>Hyatt Hotels Corporation - Former Executive Chairman (resigned February 16, 2026, over Epstein ties)</v>
      </c>
    </row>
    <row r="570" ht="15.75" customHeight="1">
      <c r="A570" s="21" t="s">
        <v>762</v>
      </c>
      <c r="B570" s="21" t="s">
        <v>2119</v>
      </c>
      <c r="C570" s="21" t="s">
        <v>1172</v>
      </c>
      <c r="D570" s="21" t="str">
        <f t="shared" si="1"/>
        <v>Triton (Container Leasing) - Co-founder</v>
      </c>
    </row>
    <row r="571" ht="15.75" customHeight="1">
      <c r="A571" s="21" t="s">
        <v>762</v>
      </c>
      <c r="B571" s="21" t="s">
        <v>2120</v>
      </c>
      <c r="C571" s="21" t="s">
        <v>2121</v>
      </c>
      <c r="D571" s="21" t="str">
        <f t="shared" si="1"/>
        <v>Bay City Capital - Founder (venture biotech/pharma)</v>
      </c>
    </row>
    <row r="572" ht="15.75" customHeight="1">
      <c r="A572" s="21" t="s">
        <v>762</v>
      </c>
      <c r="B572" s="21" t="s">
        <v>2122</v>
      </c>
      <c r="C572" s="21" t="s">
        <v>2123</v>
      </c>
      <c r="D572" s="21" t="str">
        <f t="shared" si="1"/>
        <v>North America Western Asia Holdings LLC (NAWAH) - Founder &amp; Chairman (Iraq-focused investment)</v>
      </c>
    </row>
    <row r="573" ht="15.75" customHeight="1">
      <c r="A573" s="21" t="s">
        <v>762</v>
      </c>
      <c r="B573" s="21" t="s">
        <v>2124</v>
      </c>
      <c r="D573" s="21" t="str">
        <f t="shared" si="1"/>
        <v>Former Director: Royal Caribbean Cruises (until 2020), TransUnion (until 2010)</v>
      </c>
    </row>
    <row r="574" ht="15.75" customHeight="1">
      <c r="A574" s="21" t="s">
        <v>769</v>
      </c>
      <c r="B574" s="21" t="s">
        <v>2125</v>
      </c>
      <c r="C574" s="21" t="s">
        <v>2126</v>
      </c>
      <c r="D574" s="21" t="str">
        <f t="shared" si="1"/>
        <v>Government of India - Union Minister of Petroleum and Natural Gas; Minister of Housing and Urban Affairs (since 2021)</v>
      </c>
    </row>
    <row r="575" ht="15.75" customHeight="1">
      <c r="A575" s="21" t="s">
        <v>769</v>
      </c>
      <c r="B575" s="21" t="s">
        <v>2127</v>
      </c>
      <c r="C575" s="21" t="s">
        <v>2128</v>
      </c>
      <c r="D575" s="21" t="str">
        <f t="shared" si="1"/>
        <v>Bharatiya Janata Party (BJP) - Member (since 2014)</v>
      </c>
    </row>
    <row r="576" ht="15.75" customHeight="1">
      <c r="A576" s="21" t="s">
        <v>769</v>
      </c>
      <c r="B576" s="21" t="s">
        <v>2129</v>
      </c>
      <c r="C576" s="21" t="s">
        <v>2130</v>
      </c>
      <c r="D576" s="21" t="str">
        <f t="shared" si="1"/>
        <v>Rajya Sabha (Indian Parliament) - Member from Uttar Pradesh (since 2020)</v>
      </c>
    </row>
    <row r="577" ht="15.75" customHeight="1">
      <c r="A577" s="21" t="s">
        <v>769</v>
      </c>
      <c r="B577" s="21" t="s">
        <v>2131</v>
      </c>
      <c r="C577" s="21" t="s">
        <v>2132</v>
      </c>
      <c r="D577" s="21" t="str">
        <f t="shared" si="1"/>
        <v>Former Indian Permanent Representative to the United Nations (2009 - 2013)</v>
      </c>
    </row>
    <row r="578" ht="15.75" customHeight="1">
      <c r="A578" s="21" t="s">
        <v>769</v>
      </c>
      <c r="B578" s="21" t="s">
        <v>2133</v>
      </c>
      <c r="C578" s="21" t="s">
        <v>2134</v>
      </c>
      <c r="D578" s="21" t="str">
        <f t="shared" si="1"/>
        <v>Former Indian Ambassador to Brazil (2006 - 2008)</v>
      </c>
    </row>
    <row r="579" ht="15.75" customHeight="1">
      <c r="A579" s="21" t="s">
        <v>769</v>
      </c>
      <c r="B579" s="21" t="s">
        <v>2135</v>
      </c>
      <c r="C579" s="21" t="s">
        <v>2136</v>
      </c>
      <c r="D579" s="21" t="str">
        <f t="shared" si="1"/>
        <v>Former Indian Deputy Ambassador to the United Kingdom (1999 - 2002)</v>
      </c>
    </row>
    <row r="580" ht="15.75" customHeight="1">
      <c r="A580" s="21" t="s">
        <v>769</v>
      </c>
      <c r="B580" s="21" t="s">
        <v>2137</v>
      </c>
      <c r="D580" s="21" t="str">
        <f t="shared" si="1"/>
        <v>Retired Indian Foreign Service (IFS) officer (1974 batch)</v>
      </c>
    </row>
    <row r="581" ht="15.75" customHeight="1">
      <c r="A581" s="21" t="s">
        <v>775</v>
      </c>
      <c r="B581" s="21" t="s">
        <v>2138</v>
      </c>
      <c r="C581" s="21" t="s">
        <v>2139</v>
      </c>
      <c r="D581" s="21" t="str">
        <f t="shared" si="1"/>
        <v>Heir Wave Music Group - Founder (record label, 2020)</v>
      </c>
    </row>
    <row r="582" ht="15.75" customHeight="1">
      <c r="A582" s="21" t="s">
        <v>775</v>
      </c>
      <c r="B582" s="21" t="s">
        <v>2140</v>
      </c>
      <c r="C582" s="21" t="s">
        <v>2141</v>
      </c>
      <c r="D582" s="21" t="str">
        <f t="shared" si="1"/>
        <v>GOOD Music - Former President (Kanye West's label; departed 2022)</v>
      </c>
    </row>
    <row r="583" ht="15.75" customHeight="1">
      <c r="A583" s="21" t="s">
        <v>775</v>
      </c>
      <c r="B583" s="21" t="s">
        <v>2142</v>
      </c>
      <c r="C583" s="21" t="s">
        <v>2143</v>
      </c>
      <c r="D583" s="21" t="str">
        <f t="shared" si="1"/>
        <v>Re-Up Records - Co-founder (with No Malice, Ab-Liva, and Sandman, 2004)</v>
      </c>
    </row>
    <row r="584" ht="15.75" customHeight="1">
      <c r="A584" s="21" t="s">
        <v>775</v>
      </c>
      <c r="B584" s="21" t="s">
        <v>2144</v>
      </c>
      <c r="C584" s="21" t="s">
        <v>2145</v>
      </c>
      <c r="D584" s="21" t="str">
        <f t="shared" si="1"/>
        <v>Caring Hands Medical Transportation - Investor (medical transport company)</v>
      </c>
    </row>
    <row r="585" ht="15.75" customHeight="1">
      <c r="A585" s="21" t="s">
        <v>775</v>
      </c>
      <c r="B585" s="21" t="s">
        <v>2146</v>
      </c>
      <c r="C585" s="21" t="s">
        <v>2147</v>
      </c>
      <c r="D585" s="21" t="str">
        <f t="shared" si="1"/>
        <v>Clipse - Co-founder (rap duo with brother No Malice)</v>
      </c>
    </row>
    <row r="586" ht="15.75" customHeight="1">
      <c r="A586" s="21" t="s">
        <v>782</v>
      </c>
      <c r="B586" s="21" t="s">
        <v>1464</v>
      </c>
      <c r="C586" s="21" t="s">
        <v>2148</v>
      </c>
      <c r="D586" s="21" t="str">
        <f t="shared" si="1"/>
        <v>Russian Federation - President (2000–2008, 2012–present); Prime Minister (2008–2012)</v>
      </c>
    </row>
    <row r="587" ht="15.75" customHeight="1">
      <c r="A587" s="21" t="s">
        <v>782</v>
      </c>
      <c r="B587" s="21" t="s">
        <v>2149</v>
      </c>
      <c r="C587" s="21" t="s">
        <v>2150</v>
      </c>
      <c r="D587" s="21" t="str">
        <f t="shared" si="1"/>
        <v>United Russia - Associated political party</v>
      </c>
    </row>
    <row r="588" ht="15.75" customHeight="1">
      <c r="A588" s="21" t="s">
        <v>782</v>
      </c>
      <c r="B588" s="21" t="s">
        <v>2151</v>
      </c>
      <c r="C588" s="21" t="s">
        <v>2152</v>
      </c>
      <c r="D588" s="21" t="str">
        <f t="shared" si="1"/>
        <v>All-Russia People's Front - Head (since 2013)</v>
      </c>
    </row>
    <row r="589" ht="15.75" customHeight="1">
      <c r="A589" s="21" t="s">
        <v>782</v>
      </c>
      <c r="B589" s="21" t="s">
        <v>2153</v>
      </c>
      <c r="C589" s="21" t="s">
        <v>2154</v>
      </c>
      <c r="D589" s="21" t="str">
        <f t="shared" si="1"/>
        <v>Federal Security Service (FSB) - Former Director (1998–1999)</v>
      </c>
    </row>
    <row r="590" ht="15.75" customHeight="1">
      <c r="A590" s="21" t="s">
        <v>782</v>
      </c>
      <c r="B590" s="21" t="s">
        <v>2155</v>
      </c>
      <c r="C590" s="21" t="s">
        <v>2156</v>
      </c>
      <c r="D590" s="21" t="str">
        <f t="shared" si="1"/>
        <v>Security Council of Russia - Former Secretary (1999)</v>
      </c>
    </row>
    <row r="591" ht="15.75" customHeight="1">
      <c r="A591" s="21" t="s">
        <v>782</v>
      </c>
      <c r="B591" s="21" t="s">
        <v>2157</v>
      </c>
      <c r="D591" s="21" t="str">
        <f t="shared" si="1"/>
        <v>Oversaw consolidation of state control over major Russian enterprises including Gazprom, Rosneft, and other state corporations</v>
      </c>
    </row>
    <row r="592" ht="15.75" customHeight="1">
      <c r="A592" s="21" t="s">
        <v>225</v>
      </c>
      <c r="B592" s="21" t="s">
        <v>1381</v>
      </c>
      <c r="C592" s="21" t="s">
        <v>2158</v>
      </c>
      <c r="D592" s="21" t="str">
        <f t="shared" si="1"/>
        <v>Karin Models - Former Owner/Head (Paris modeling agency; from late 1970s)</v>
      </c>
    </row>
    <row r="593" ht="15.75" customHeight="1">
      <c r="A593" s="21" t="s">
        <v>225</v>
      </c>
      <c r="B593" s="21" t="s">
        <v>1379</v>
      </c>
      <c r="C593" s="21" t="s">
        <v>2159</v>
      </c>
      <c r="D593" s="21" t="str">
        <f t="shared" si="1"/>
        <v>MC2 Model Management - Founder (modeling agency, New York/Miami/Tel Aviv; financed by Epstein, 2005; dissolved 2019)</v>
      </c>
    </row>
    <row r="594" ht="15.75" customHeight="1">
      <c r="A594" s="21" t="s">
        <v>225</v>
      </c>
      <c r="B594" s="21" t="s">
        <v>2160</v>
      </c>
      <c r="C594" s="21" t="s">
        <v>2161</v>
      </c>
      <c r="D594" s="21" t="str">
        <f t="shared" si="1"/>
        <v>Next Management Corporation / Next Management Company - Co-founder (1988–1989; global modeling agency; with brother Arnaud and Faith Kates)</v>
      </c>
    </row>
    <row r="595" ht="15.75" customHeight="1">
      <c r="A595" s="21" t="s">
        <v>225</v>
      </c>
      <c r="B595" s="21" t="s">
        <v>2162</v>
      </c>
      <c r="C595" s="21" t="s">
        <v>2163</v>
      </c>
      <c r="D595" s="21" t="str">
        <f t="shared" si="1"/>
        <v>Karin Models of America - Founder (1995; predecessor to MC2)</v>
      </c>
    </row>
    <row r="596" ht="15.75" customHeight="1">
      <c r="A596" s="21" t="s">
        <v>264</v>
      </c>
      <c r="B596" s="21" t="s">
        <v>2164</v>
      </c>
      <c r="D596" s="21" t="str">
        <f t="shared" si="1"/>
        <v>International orchestral conductor and composer</v>
      </c>
    </row>
    <row r="597" ht="15.75" customHeight="1">
      <c r="A597" s="21" t="s">
        <v>264</v>
      </c>
      <c r="B597" s="21" t="s">
        <v>1290</v>
      </c>
      <c r="C597" s="21" t="s">
        <v>2165</v>
      </c>
      <c r="D597" s="21" t="str">
        <f t="shared" si="1"/>
        <v>Jerusalem Symphony Orchestra - Former Music Director</v>
      </c>
    </row>
    <row r="598" ht="15.75" customHeight="1">
      <c r="A598" s="21" t="s">
        <v>264</v>
      </c>
      <c r="B598" s="21" t="s">
        <v>2166</v>
      </c>
      <c r="C598" s="21" t="s">
        <v>2165</v>
      </c>
      <c r="D598" s="21" t="str">
        <f t="shared" si="1"/>
        <v>Manila Symphony Orchestra - Former Music Director</v>
      </c>
    </row>
    <row r="599" ht="15.75" customHeight="1">
      <c r="A599" s="21" t="s">
        <v>264</v>
      </c>
      <c r="B599" s="21" t="s">
        <v>2167</v>
      </c>
      <c r="C599" s="21" t="s">
        <v>2165</v>
      </c>
      <c r="D599" s="21" t="str">
        <f t="shared" si="1"/>
        <v>Opéra national du Rhin - Former Music Director</v>
      </c>
    </row>
    <row r="600" ht="15.75" customHeight="1">
      <c r="A600" s="21" t="s">
        <v>790</v>
      </c>
      <c r="B600" s="21" t="s">
        <v>2168</v>
      </c>
      <c r="C600" s="21" t="s">
        <v>2169</v>
      </c>
      <c r="D600" s="21" t="str">
        <f t="shared" si="1"/>
        <v>Sornay, LLC - Founder, Chairman &amp; CEO (strategic advisory firm, since January 2021)</v>
      </c>
    </row>
    <row r="601" ht="15.75" customHeight="1">
      <c r="A601" s="21" t="s">
        <v>790</v>
      </c>
      <c r="B601" s="21" t="s">
        <v>2170</v>
      </c>
      <c r="C601" s="21" t="s">
        <v>2171</v>
      </c>
      <c r="D601" s="21" t="str">
        <f t="shared" si="1"/>
        <v>Kissinger Associates, Inc. - Former Vice Chairman &amp; Co-CEO (2011–2020); Former Managing Director (2006–2011)</v>
      </c>
    </row>
    <row r="602" ht="15.75" customHeight="1">
      <c r="A602" s="21" t="s">
        <v>790</v>
      </c>
      <c r="B602" s="21" t="s">
        <v>2172</v>
      </c>
      <c r="C602" s="21" t="s">
        <v>2173</v>
      </c>
      <c r="D602" s="21" t="str">
        <f t="shared" si="1"/>
        <v>FedEx Corporation - Board of Directors (since 2011; Audit &amp; Finance Committee, Cyber &amp; Technology Oversight Committee)</v>
      </c>
    </row>
    <row r="603" ht="15.75" customHeight="1">
      <c r="A603" s="21" t="s">
        <v>790</v>
      </c>
      <c r="B603" s="21" t="s">
        <v>2174</v>
      </c>
      <c r="C603" s="21" t="s">
        <v>2175</v>
      </c>
      <c r="D603" s="21" t="str">
        <f t="shared" si="1"/>
        <v>Starbucks Corporation - Former Board of Directors</v>
      </c>
    </row>
    <row r="604" ht="15.75" customHeight="1">
      <c r="A604" s="21" t="s">
        <v>790</v>
      </c>
      <c r="B604" s="21" t="s">
        <v>1441</v>
      </c>
      <c r="C604" s="21" t="s">
        <v>2176</v>
      </c>
      <c r="D604" s="21" t="str">
        <f t="shared" si="1"/>
        <v>Co - founder, U.S.–China Young Leaders Forum</v>
      </c>
    </row>
    <row r="605" ht="15.75" customHeight="1">
      <c r="A605" s="21" t="s">
        <v>790</v>
      </c>
      <c r="B605" s="21" t="s">
        <v>2177</v>
      </c>
      <c r="D605" s="21" t="str">
        <f t="shared" si="1"/>
        <v>Member: Council on Foreign Relations, World Economic Forum Young Global Leaders</v>
      </c>
    </row>
    <row r="606" ht="15.75" customHeight="1">
      <c r="A606" s="21" t="s">
        <v>798</v>
      </c>
      <c r="B606" s="21" t="s">
        <v>2015</v>
      </c>
      <c r="C606" s="21" t="s">
        <v>2178</v>
      </c>
      <c r="D606" s="21" t="str">
        <f t="shared" si="1"/>
        <v>Harvard University - Frank B. Baird, Jr. Professor of Science, Department of Physics (since 2001)</v>
      </c>
    </row>
    <row r="607" ht="15.75" customHeight="1">
      <c r="A607" s="21" t="s">
        <v>798</v>
      </c>
      <c r="B607" s="21" t="s">
        <v>2179</v>
      </c>
      <c r="D607" s="21" t="str">
        <f t="shared" si="1"/>
        <v>Member: National Academy of Sciences, American Philosophical Society, American Academy of Arts and Sciences</v>
      </c>
    </row>
    <row r="608" ht="15.75" customHeight="1">
      <c r="A608" s="21" t="s">
        <v>798</v>
      </c>
      <c r="B608" s="21" t="s">
        <v>2180</v>
      </c>
      <c r="D608" s="21" t="str">
        <f t="shared" si="1"/>
        <v>Former professor at MIT and Princeton University</v>
      </c>
    </row>
    <row r="609" ht="15.75" customHeight="1">
      <c r="A609" s="21" t="s">
        <v>806</v>
      </c>
      <c r="B609" s="21" t="s">
        <v>2181</v>
      </c>
      <c r="C609" s="21" t="s">
        <v>2182</v>
      </c>
      <c r="D609" s="21" t="str">
        <f t="shared" si="1"/>
        <v>RatPac Entertainment - Co-founder &amp; CEO (with James Packer, 2012; co-financed 81+ films with Warner Bros.)</v>
      </c>
    </row>
    <row r="610" ht="15.75" customHeight="1">
      <c r="A610" s="21" t="s">
        <v>806</v>
      </c>
      <c r="B610" s="21" t="s">
        <v>2183</v>
      </c>
      <c r="C610" s="21" t="s">
        <v>2184</v>
      </c>
      <c r="D610" s="21" t="str">
        <f t="shared" si="1"/>
        <v>RatPac–Dune Entertainment - Co-financing venture with Warner Bros. (75 films, 2013–2018; ties severed after misconduct allegations)</v>
      </c>
    </row>
    <row r="611" ht="15.75" customHeight="1">
      <c r="A611" s="21" t="s">
        <v>806</v>
      </c>
      <c r="B611" s="21" t="s">
        <v>2185</v>
      </c>
      <c r="C611" s="21" t="s">
        <v>2186</v>
      </c>
      <c r="D611" s="21" t="str">
        <f t="shared" si="1"/>
        <v>Relativity Studios - Former Chairman (via Trigger Street acquisition deal in 2016; Relativity went through bankruptcy)</v>
      </c>
    </row>
    <row r="612" ht="15.75" customHeight="1">
      <c r="A612" s="21" t="s">
        <v>806</v>
      </c>
      <c r="B612" s="21" t="s">
        <v>2187</v>
      </c>
      <c r="C612" s="21" t="s">
        <v>2188</v>
      </c>
      <c r="D612" s="21" t="str">
        <f t="shared" si="1"/>
        <v>Rat Entertainment - Founder (earlier production company)</v>
      </c>
    </row>
    <row r="613" ht="15.75" customHeight="1">
      <c r="A613" s="21" t="s">
        <v>806</v>
      </c>
      <c r="B613" s="21" t="s">
        <v>2189</v>
      </c>
      <c r="D613" s="21" t="str">
        <f t="shared" si="1"/>
        <v>Founder, Hilhaven Lodge (whiskey brand, in partnership with DeLeón Tequila/Diageo)</v>
      </c>
    </row>
    <row r="614" ht="15.75" customHeight="1">
      <c r="A614" s="21" t="s">
        <v>814</v>
      </c>
      <c r="B614" s="21" t="s">
        <v>2190</v>
      </c>
      <c r="C614" s="21" t="s">
        <v>2191</v>
      </c>
      <c r="D614" s="21" t="str">
        <f t="shared" si="1"/>
        <v>International Peace Institute (IPI) - Former President (2005–2020; resigned over Epstein ties)</v>
      </c>
    </row>
    <row r="615" ht="15.75" customHeight="1">
      <c r="A615" s="21" t="s">
        <v>814</v>
      </c>
      <c r="B615" s="21" t="s">
        <v>2192</v>
      </c>
      <c r="C615" s="21" t="s">
        <v>2193</v>
      </c>
      <c r="D615" s="21" t="str">
        <f t="shared" si="1"/>
        <v>Fafo Institute for Applied Social Science - Founder &amp; Former Director (Oslo, 1982–1993)</v>
      </c>
    </row>
    <row r="616" ht="15.75" customHeight="1">
      <c r="A616" s="21" t="s">
        <v>814</v>
      </c>
      <c r="B616" s="21" t="s">
        <v>2194</v>
      </c>
      <c r="C616" s="21" t="s">
        <v>2195</v>
      </c>
      <c r="D616" s="21" t="str">
        <f t="shared" si="1"/>
        <v>United Nations - Multiple senior roles: UN Special Coordinator for the Middle East Peace Process; Personal Representative of the UN Secretary-General to the PLO/PA (Under-Secretary-General rank, 1999–2004); Special Envoy for Lebanon/Syria (UNSCR 1559)</v>
      </c>
    </row>
    <row r="617" ht="15.75" customHeight="1">
      <c r="A617" s="21" t="s">
        <v>814</v>
      </c>
      <c r="B617" s="21" t="s">
        <v>2196</v>
      </c>
      <c r="C617" s="21" t="s">
        <v>2197</v>
      </c>
      <c r="D617" s="21" t="str">
        <f t="shared" si="1"/>
        <v>Government of Norway - Former Deputy Prime Minister and Minister for Planning and Cooperation</v>
      </c>
    </row>
    <row r="618" ht="15.75" customHeight="1">
      <c r="A618" s="21" t="s">
        <v>814</v>
      </c>
      <c r="B618" s="21" t="s">
        <v>2198</v>
      </c>
      <c r="D618" s="21" t="str">
        <f t="shared" si="1"/>
        <v>Key architect of the Oslo Accords</v>
      </c>
    </row>
    <row r="619" ht="15.75" customHeight="1">
      <c r="A619" s="21" t="s">
        <v>822</v>
      </c>
      <c r="B619" s="21" t="s">
        <v>2199</v>
      </c>
      <c r="C619" s="21" t="s">
        <v>2200</v>
      </c>
      <c r="D619" s="21" t="str">
        <f t="shared" si="1"/>
        <v>Carphone Warehouse (now Currys) - Co-founder; Former Finance Director, COO, and Deputy Chairman</v>
      </c>
    </row>
    <row r="620" ht="15.75" customHeight="1">
      <c r="A620" s="21" t="s">
        <v>822</v>
      </c>
      <c r="B620" s="21" t="s">
        <v>2201</v>
      </c>
      <c r="C620" s="21" t="s">
        <v>2202</v>
      </c>
      <c r="D620" s="21" t="str">
        <f t="shared" si="1"/>
        <v>Kandahar Real Estate Ltd - Founder (joint venture with Morgan Stanley)</v>
      </c>
    </row>
    <row r="621" ht="15.75" customHeight="1">
      <c r="A621" s="21" t="s">
        <v>822</v>
      </c>
      <c r="B621" s="21" t="s">
        <v>2203</v>
      </c>
      <c r="C621" s="21" t="s">
        <v>2204</v>
      </c>
      <c r="D621" s="21" t="str">
        <f t="shared" si="1"/>
        <v>David Ross Foundation - Founder (education charity, 2006)</v>
      </c>
    </row>
    <row r="622" ht="15.75" customHeight="1">
      <c r="A622" s="21" t="s">
        <v>822</v>
      </c>
      <c r="B622" s="21" t="s">
        <v>2205</v>
      </c>
      <c r="C622" s="21" t="s">
        <v>2206</v>
      </c>
      <c r="D622" s="21" t="str">
        <f t="shared" si="1"/>
        <v>David Ross Education Trust - Founder (academy chain in England)</v>
      </c>
    </row>
    <row r="623" ht="15.75" customHeight="1">
      <c r="A623" s="21" t="s">
        <v>822</v>
      </c>
      <c r="B623" s="21" t="s">
        <v>2207</v>
      </c>
      <c r="C623" s="21" t="s">
        <v>1143</v>
      </c>
      <c r="D623" s="21" t="str">
        <f t="shared" si="1"/>
        <v>New Schools Network - Chairman</v>
      </c>
    </row>
    <row r="624" ht="15.75" customHeight="1">
      <c r="A624" s="21" t="s">
        <v>822</v>
      </c>
      <c r="B624" s="21" t="s">
        <v>2208</v>
      </c>
      <c r="C624" s="21" t="s">
        <v>2209</v>
      </c>
      <c r="D624" s="21" t="str">
        <f t="shared" si="1"/>
        <v>National Express - Former Chairman (2001–2008)</v>
      </c>
    </row>
    <row r="625" ht="15.75" customHeight="1">
      <c r="A625" s="21" t="s">
        <v>822</v>
      </c>
      <c r="B625" s="21" t="s">
        <v>2210</v>
      </c>
      <c r="D625" s="21" t="str">
        <f t="shared" si="1"/>
        <v>Former board roles: Trinity Mirror, Big Yellow Storage, Frontiers Capital</v>
      </c>
    </row>
    <row r="626" ht="15.75" customHeight="1">
      <c r="A626" s="21" t="s">
        <v>822</v>
      </c>
      <c r="B626" s="21" t="s">
        <v>2211</v>
      </c>
      <c r="C626" s="21" t="s">
        <v>1477</v>
      </c>
      <c r="D626" s="21" t="str">
        <f t="shared" si="1"/>
        <v>Grimsby Town FC - Owner</v>
      </c>
    </row>
    <row r="627" ht="15.75" customHeight="1">
      <c r="A627" s="21" t="s">
        <v>830</v>
      </c>
      <c r="B627" s="21" t="s">
        <v>2212</v>
      </c>
      <c r="C627" s="21" t="s">
        <v>2213</v>
      </c>
      <c r="D627" s="21" t="str">
        <f t="shared" si="1"/>
        <v>Edmond de Rothschild Group - CEO (since March 2023); previously President of the Executive Committee (since 2015) and Chairman of the Board</v>
      </c>
    </row>
    <row r="628" ht="15.75" customHeight="1">
      <c r="A628" s="21" t="s">
        <v>830</v>
      </c>
      <c r="B628" s="21" t="s">
        <v>2214</v>
      </c>
      <c r="C628" s="21" t="s">
        <v>2215</v>
      </c>
      <c r="D628" s="21" t="str">
        <f t="shared" si="1"/>
        <v>Edmond de Rothschild Heritage - Creator/Overseer (consolidated the family's wine, hotel, farm, and lifestyle assets under this brand, 2016)</v>
      </c>
    </row>
    <row r="629" ht="15.75" customHeight="1">
      <c r="A629" s="21" t="s">
        <v>830</v>
      </c>
      <c r="B629" s="21" t="s">
        <v>2216</v>
      </c>
      <c r="C629" s="21" t="s">
        <v>2217</v>
      </c>
      <c r="D629" s="21" t="str">
        <f t="shared" si="1"/>
        <v>Edmond de Rothschild Foundations - Creator (2005; five fields: art/culture, health/research, philanthropy, cultural dialogue, social entrepreneurship)</v>
      </c>
    </row>
    <row r="630" ht="15.75" customHeight="1">
      <c r="A630" s="21" t="s">
        <v>830</v>
      </c>
      <c r="B630" s="21" t="s">
        <v>2218</v>
      </c>
      <c r="C630" s="21" t="s">
        <v>2219</v>
      </c>
      <c r="D630" s="21" t="str">
        <f t="shared" si="1"/>
        <v>Gitana Team - Co-founder (offshore yacht racing team, 2000)</v>
      </c>
    </row>
    <row r="631" ht="15.75" customHeight="1">
      <c r="A631" s="21" t="s">
        <v>830</v>
      </c>
      <c r="B631" s="21" t="s">
        <v>2220</v>
      </c>
      <c r="D631" s="21" t="str">
        <f t="shared" si="1"/>
        <v>Majority controller of the Edmond de Rothschild Group via her four daughters' voting rights (since 2021)</v>
      </c>
    </row>
    <row r="632" ht="15.75" customHeight="1">
      <c r="A632" s="21" t="s">
        <v>830</v>
      </c>
      <c r="B632" s="21" t="s">
        <v>2221</v>
      </c>
      <c r="D632" s="21" t="str">
        <f t="shared" si="1"/>
        <v>The group manages CHF 184 billion in assets across 29 sites in 14 countries</v>
      </c>
    </row>
    <row r="633" ht="15.75" customHeight="1">
      <c r="A633" s="21" t="s">
        <v>838</v>
      </c>
      <c r="B633" s="21" t="s">
        <v>2222</v>
      </c>
      <c r="C633" s="21" t="s">
        <v>2223</v>
      </c>
      <c r="D633" s="21" t="str">
        <f t="shared" si="1"/>
        <v>E.L. Rothschild LLC - Founder &amp; CEO (family investment holding company, since 2003; investments in media, asset management, real estate, agriculture)</v>
      </c>
    </row>
    <row r="634" ht="15.75" customHeight="1">
      <c r="A634" s="21" t="s">
        <v>838</v>
      </c>
      <c r="B634" s="21" t="s">
        <v>2224</v>
      </c>
      <c r="C634" s="21" t="s">
        <v>2225</v>
      </c>
      <c r="D634" s="21" t="str">
        <f t="shared" si="1"/>
        <v>Council for Inclusive Capitalism - Founder &amp; CEO (global non-profit)</v>
      </c>
    </row>
    <row r="635" ht="15.75" customHeight="1">
      <c r="A635" s="21" t="s">
        <v>838</v>
      </c>
      <c r="B635" s="21" t="s">
        <v>2226</v>
      </c>
      <c r="C635" s="21" t="s">
        <v>2227</v>
      </c>
      <c r="D635" s="21" t="str">
        <f t="shared" si="1"/>
        <v>Inclusive Capital Partners - Founding &amp; Managing Partner</v>
      </c>
    </row>
    <row r="636" ht="15.75" customHeight="1">
      <c r="A636" s="21" t="s">
        <v>838</v>
      </c>
      <c r="B636" s="21" t="s">
        <v>2228</v>
      </c>
      <c r="C636" s="21" t="s">
        <v>1188</v>
      </c>
      <c r="D636" s="21" t="str">
        <f t="shared" si="1"/>
        <v>Coalition for Inclusive Capitalism - Founder</v>
      </c>
    </row>
    <row r="637" ht="15.75" customHeight="1">
      <c r="A637" s="21" t="s">
        <v>838</v>
      </c>
      <c r="B637" s="21" t="s">
        <v>2229</v>
      </c>
      <c r="C637" s="21" t="s">
        <v>2230</v>
      </c>
      <c r="D637" s="21" t="str">
        <f t="shared" si="1"/>
        <v>FirstMark Communications Inc. - Founder (broadband wireless company, sold in 2000 in $1 billion financing)</v>
      </c>
    </row>
    <row r="638" ht="15.75" customHeight="1">
      <c r="A638" s="21" t="s">
        <v>838</v>
      </c>
      <c r="B638" s="21" t="s">
        <v>2231</v>
      </c>
      <c r="C638" s="21" t="s">
        <v>2232</v>
      </c>
      <c r="D638" s="21" t="str">
        <f t="shared" si="1"/>
        <v>TPI Communications International, Inc. - Former majority shareholder, Chairman &amp; CEO (with Motorola, 1989–1995)</v>
      </c>
    </row>
    <row r="639" ht="15.75" customHeight="1">
      <c r="A639" s="21" t="s">
        <v>838</v>
      </c>
      <c r="B639" s="21" t="s">
        <v>2233</v>
      </c>
      <c r="D639" s="21" t="str">
        <f t="shared" si="1"/>
        <v>Board memberships: The Estée Lauder Companies (since 2000), The Economist Group (since 2002), McCain Institute</v>
      </c>
    </row>
    <row r="640" ht="15.75" customHeight="1">
      <c r="A640" s="21" t="s">
        <v>838</v>
      </c>
      <c r="B640" s="21" t="s">
        <v>2234</v>
      </c>
      <c r="D640" s="21" t="str">
        <f t="shared" si="1"/>
        <v>Holdings include stakes in: The Economist Group, Bronfman/E.L. Rothschild (wealth management)</v>
      </c>
    </row>
    <row r="641" ht="15.75" customHeight="1">
      <c r="A641" s="21" t="s">
        <v>838</v>
      </c>
      <c r="B641" s="21" t="s">
        <v>2235</v>
      </c>
      <c r="D641" s="21" t="str">
        <f t="shared" si="1"/>
        <v>Former board roles: Gulfstream, General Instruments</v>
      </c>
    </row>
    <row r="642" ht="15.75" customHeight="1">
      <c r="A642" s="21" t="s">
        <v>845</v>
      </c>
      <c r="B642" s="21" t="s">
        <v>1262</v>
      </c>
      <c r="C642" s="21" t="s">
        <v>2236</v>
      </c>
      <c r="D642" s="21" t="str">
        <f t="shared" si="1"/>
        <v>Apollo Global Management - Co-founder, CEO &amp; Chair of the Board (co-founded 1990 with Leon Black and Josh Harris; CEO since March 2021)</v>
      </c>
    </row>
    <row r="643" ht="15.75" customHeight="1">
      <c r="A643" s="21" t="s">
        <v>845</v>
      </c>
      <c r="B643" s="21" t="s">
        <v>2237</v>
      </c>
      <c r="C643" s="21" t="s">
        <v>1599</v>
      </c>
      <c r="D643" s="21" t="str">
        <f t="shared" si="1"/>
        <v>Athene Holding Ltd. - Board of Directors</v>
      </c>
    </row>
    <row r="644" ht="15.75" customHeight="1">
      <c r="A644" s="21" t="s">
        <v>845</v>
      </c>
      <c r="B644" s="21" t="s">
        <v>2238</v>
      </c>
      <c r="C644" s="21" t="s">
        <v>2239</v>
      </c>
      <c r="D644" s="21" t="str">
        <f t="shared" si="1"/>
        <v>Wharton School, University of Pennsylvania - Chair, Board of Advisors</v>
      </c>
    </row>
    <row r="645" ht="15.75" customHeight="1">
      <c r="A645" s="21" t="s">
        <v>845</v>
      </c>
      <c r="B645" s="21" t="s">
        <v>1441</v>
      </c>
      <c r="C645" s="21" t="s">
        <v>2240</v>
      </c>
      <c r="D645" s="21" t="str">
        <f t="shared" si="1"/>
        <v>Co - funder, Penn Wharton Budget Model (nonpartisan public policy research)</v>
      </c>
    </row>
    <row r="646" ht="15.75" customHeight="1">
      <c r="A646" s="21" t="s">
        <v>845</v>
      </c>
      <c r="B646" s="21" t="s">
        <v>2241</v>
      </c>
      <c r="D646" s="21" t="str">
        <f t="shared" si="1"/>
        <v>Net worth estimated at $8.8 billion (as of November 2024)</v>
      </c>
    </row>
    <row r="647" ht="15.75" customHeight="1">
      <c r="A647" s="21" t="s">
        <v>853</v>
      </c>
      <c r="B647" s="21" t="s">
        <v>2242</v>
      </c>
      <c r="C647" s="21" t="s">
        <v>2243</v>
      </c>
      <c r="D647" s="21" t="str">
        <f t="shared" si="1"/>
        <v>Asia Society - Incoming President &amp; CEO (returning March 31, 2026; previously served as President &amp; CEO 2021–2023)</v>
      </c>
    </row>
    <row r="648" ht="15.75" customHeight="1">
      <c r="A648" s="21" t="s">
        <v>853</v>
      </c>
      <c r="B648" s="21" t="s">
        <v>2244</v>
      </c>
      <c r="C648" s="21" t="s">
        <v>2245</v>
      </c>
      <c r="D648" s="21" t="str">
        <f t="shared" si="1"/>
        <v>Asia Society Policy Institute (ASPI) - Founding President (2015–2023); established its Center for China Analysis (2022)</v>
      </c>
    </row>
    <row r="649" ht="15.75" customHeight="1">
      <c r="A649" s="21" t="s">
        <v>853</v>
      </c>
      <c r="B649" s="21" t="s">
        <v>2246</v>
      </c>
      <c r="C649" s="21" t="s">
        <v>2247</v>
      </c>
      <c r="D649" s="21" t="str">
        <f t="shared" si="1"/>
        <v>Australian Government - Former 26th Prime Minister of Australia (2007–2010, 2013); Former Minister for Foreign Affairs (2010–2012); Current Ambassador to the United States (2023–2026)</v>
      </c>
    </row>
    <row r="650" ht="15.75" customHeight="1">
      <c r="A650" s="21" t="s">
        <v>853</v>
      </c>
      <c r="B650" s="21" t="s">
        <v>2248</v>
      </c>
      <c r="C650" s="21" t="s">
        <v>2249</v>
      </c>
      <c r="D650" s="21" t="str">
        <f t="shared" si="1"/>
        <v>National Apology Foundation (Australia) - Founder &amp; Co-Chair</v>
      </c>
    </row>
    <row r="651" ht="15.75" customHeight="1">
      <c r="A651" s="21" t="s">
        <v>853</v>
      </c>
      <c r="B651" s="21" t="s">
        <v>2250</v>
      </c>
      <c r="D651" s="21" t="str">
        <f t="shared" si="1"/>
        <v>Honorary positions: Atlantic Council, CSIS, Paulson Institute, Bloomberg New Economy Forum, Sciences Po Paris</v>
      </c>
    </row>
    <row r="652" ht="15.75" customHeight="1">
      <c r="A652" s="21" t="s">
        <v>860</v>
      </c>
      <c r="B652" s="21" t="s">
        <v>2251</v>
      </c>
      <c r="C652" s="21" t="s">
        <v>2252</v>
      </c>
      <c r="D652" s="21" t="str">
        <f t="shared" si="1"/>
        <v>Goldman Sachs - Former Chief Legal Officer &amp; General Counsel (2020–February 2026; resigned over Epstein ties); Partner; Chair of Firmwide Conduct Committee</v>
      </c>
    </row>
    <row r="653" ht="15.75" customHeight="1">
      <c r="A653" s="21" t="s">
        <v>860</v>
      </c>
      <c r="B653" s="21" t="s">
        <v>2253</v>
      </c>
      <c r="C653" s="21" t="s">
        <v>2254</v>
      </c>
      <c r="D653" s="21" t="str">
        <f t="shared" si="1"/>
        <v>Latham &amp; Watkins LLP - Former Global Chair, White Collar Defense and Investigations Practice</v>
      </c>
    </row>
    <row r="654" ht="15.75" customHeight="1">
      <c r="A654" s="21" t="s">
        <v>860</v>
      </c>
      <c r="B654" s="21" t="s">
        <v>1228</v>
      </c>
      <c r="C654" s="21" t="s">
        <v>2255</v>
      </c>
      <c r="D654" s="21" t="str">
        <f t="shared" si="1"/>
        <v>The White House - Former Counsel to President Barack Obama (longest-serving)</v>
      </c>
    </row>
    <row r="655" ht="15.75" customHeight="1">
      <c r="A655" s="21" t="s">
        <v>860</v>
      </c>
      <c r="B655" s="21" t="s">
        <v>2256</v>
      </c>
      <c r="C655" s="21" t="s">
        <v>2257</v>
      </c>
      <c r="D655" s="21" t="str">
        <f t="shared" si="1"/>
        <v>U.S. Department of Justice - Former Principal Associate Deputy Attorney General; Former Deputy Director of the Enron Task Force</v>
      </c>
    </row>
    <row r="656" ht="15.75" customHeight="1">
      <c r="A656" s="21" t="s">
        <v>860</v>
      </c>
      <c r="B656" s="21" t="s">
        <v>2258</v>
      </c>
      <c r="C656" s="21" t="s">
        <v>2259</v>
      </c>
      <c r="D656" s="21" t="str">
        <f t="shared" si="1"/>
        <v>FINRA - Former Board of Governors member (since 2021)</v>
      </c>
    </row>
    <row r="657" ht="15.75" customHeight="1">
      <c r="A657" s="21" t="s">
        <v>876</v>
      </c>
      <c r="B657" s="21" t="s">
        <v>2260</v>
      </c>
      <c r="C657" s="21" t="s">
        <v>2261</v>
      </c>
      <c r="D657" s="21" t="str">
        <f t="shared" si="1"/>
        <v>David I. Schoen, Attorney at Law - Founder (civil rights and criminal defense law practice, Montgomery, Alabama)</v>
      </c>
    </row>
    <row r="658" ht="15.75" customHeight="1">
      <c r="A658" s="21" t="s">
        <v>876</v>
      </c>
      <c r="B658" s="21" t="s">
        <v>2262</v>
      </c>
      <c r="D658" s="21" t="str">
        <f t="shared" si="1"/>
        <v>Lead defense attorney for President Donald Trump during his second impeachment trial (February 2021)</v>
      </c>
    </row>
    <row r="659" ht="15.75" customHeight="1">
      <c r="A659" s="21" t="s">
        <v>883</v>
      </c>
      <c r="B659" s="21" t="s">
        <v>2263</v>
      </c>
      <c r="D659" s="21" t="str">
        <f t="shared" si="1"/>
        <v>Former Fellow, California Institute of Technology</v>
      </c>
    </row>
    <row r="660" ht="15.75" customHeight="1">
      <c r="A660" s="21" t="s">
        <v>883</v>
      </c>
      <c r="B660" s="21" t="s">
        <v>2264</v>
      </c>
      <c r="D660" s="21" t="str">
        <f t="shared" si="1"/>
        <v>Founded the Southern California Skeptics (later merged into the Skeptics Society)</v>
      </c>
    </row>
    <row r="661" ht="15.75" customHeight="1">
      <c r="A661" s="21" t="s">
        <v>898</v>
      </c>
      <c r="B661" s="21" t="s">
        <v>2265</v>
      </c>
      <c r="C661" s="21" t="s">
        <v>2266</v>
      </c>
      <c r="D661" s="21" t="str">
        <f t="shared" si="1"/>
        <v>Peggy Siegal Company - Founder &amp; President (New York–based PR firm specializing in film premieres and entertainment events)</v>
      </c>
    </row>
    <row r="662" ht="15.75" customHeight="1">
      <c r="A662" s="21" t="s">
        <v>898</v>
      </c>
      <c r="B662" s="21" t="s">
        <v>2267</v>
      </c>
      <c r="D662" s="21" t="str">
        <f t="shared" si="1"/>
        <v>No other known major organizational connections</v>
      </c>
    </row>
    <row r="663" ht="15.75" customHeight="1">
      <c r="A663" s="21" t="s">
        <v>749</v>
      </c>
      <c r="B663" s="21" t="s">
        <v>2268</v>
      </c>
      <c r="C663" s="21" t="s">
        <v>2269</v>
      </c>
      <c r="D663" s="21" t="str">
        <f t="shared" si="1"/>
        <v>Swedish Royal Family - Member (wife of Prince Carl Philip of Sweden)</v>
      </c>
    </row>
    <row r="664" ht="15.75" customHeight="1">
      <c r="A664" s="21" t="s">
        <v>749</v>
      </c>
      <c r="B664" s="21" t="s">
        <v>2270</v>
      </c>
      <c r="C664" s="21" t="s">
        <v>2271</v>
      </c>
      <c r="D664" s="21" t="str">
        <f t="shared" si="1"/>
        <v>Project Playground - Co-founder (non-profit supporting vulnerable children in South Africa and Sweden)</v>
      </c>
    </row>
    <row r="665" ht="15.75" customHeight="1">
      <c r="A665" s="21" t="s">
        <v>749</v>
      </c>
      <c r="B665" s="21" t="s">
        <v>2272</v>
      </c>
      <c r="D665" s="21" t="str">
        <f t="shared" si="1"/>
        <v>Patron of Sophiahemmet (Stockholm hospital and nursing college)</v>
      </c>
    </row>
    <row r="666" ht="15.75" customHeight="1">
      <c r="A666" s="21" t="s">
        <v>749</v>
      </c>
      <c r="B666" s="21" t="s">
        <v>2273</v>
      </c>
      <c r="D666" s="21" t="str">
        <f t="shared" si="1"/>
        <v>Former board member: Dalarna University</v>
      </c>
    </row>
    <row r="667" ht="15.75" customHeight="1">
      <c r="A667" s="21" t="s">
        <v>749</v>
      </c>
      <c r="B667" s="21" t="s">
        <v>2274</v>
      </c>
      <c r="D667" s="21" t="str">
        <f t="shared" si="1"/>
        <v>Ambassador for: Swedish Dyslexia Association</v>
      </c>
    </row>
    <row r="668" ht="15.75" customHeight="1">
      <c r="A668" s="21" t="s">
        <v>906</v>
      </c>
      <c r="B668" s="21" t="s">
        <v>2275</v>
      </c>
      <c r="C668" s="21" t="s">
        <v>2276</v>
      </c>
      <c r="D668" s="21" t="str">
        <f t="shared" si="1"/>
        <v>Trigger Street Productions - Founder (entertainment production company, 1997; later acquired by Relativity Media in 2016)</v>
      </c>
    </row>
    <row r="669" ht="15.75" customHeight="1">
      <c r="A669" s="21" t="s">
        <v>906</v>
      </c>
      <c r="B669" s="21" t="s">
        <v>2277</v>
      </c>
      <c r="C669" s="21" t="s">
        <v>2278</v>
      </c>
      <c r="D669" s="21" t="str">
        <f t="shared" si="1"/>
        <v>The Old Vic Theatre - Former Artistic Director (London, 2004–2015)</v>
      </c>
    </row>
    <row r="670" ht="15.75" customHeight="1">
      <c r="A670" s="21" t="s">
        <v>906</v>
      </c>
      <c r="B670" s="21" t="s">
        <v>2185</v>
      </c>
      <c r="C670" s="21" t="s">
        <v>2279</v>
      </c>
      <c r="D670" s="21" t="str">
        <f t="shared" si="1"/>
        <v>Relativity Studios - Former Chairman (2016)</v>
      </c>
    </row>
    <row r="671" ht="15.75" customHeight="1">
      <c r="A671" s="21" t="s">
        <v>906</v>
      </c>
      <c r="B671" s="21" t="s">
        <v>2280</v>
      </c>
      <c r="C671" s="21" t="s">
        <v>2281</v>
      </c>
      <c r="D671" s="21" t="str">
        <f t="shared" si="1"/>
        <v>Kevin Spacey Foundation - Former Founder (closed amid misconduct allegations)</v>
      </c>
    </row>
    <row r="672" ht="15.75" customHeight="1">
      <c r="A672" s="21" t="s">
        <v>913</v>
      </c>
      <c r="B672" s="21" t="s">
        <v>2282</v>
      </c>
      <c r="C672" s="21" t="s">
        <v>2283</v>
      </c>
      <c r="D672" s="21" t="str">
        <f t="shared" si="1"/>
        <v>Barclays PLC - Former Group CEO (2015–2021; resigned amid investigation into Epstein relationship)</v>
      </c>
    </row>
    <row r="673" ht="15.75" customHeight="1">
      <c r="A673" s="21" t="s">
        <v>913</v>
      </c>
      <c r="B673" s="21" t="s">
        <v>2284</v>
      </c>
      <c r="C673" s="21" t="s">
        <v>2285</v>
      </c>
      <c r="D673" s="21" t="str">
        <f t="shared" si="1"/>
        <v>JPMorgan Chase - Former Head of Private Banking; Former CEO of Investment Bank</v>
      </c>
    </row>
    <row r="674" ht="15.75" customHeight="1">
      <c r="A674" s="21" t="s">
        <v>913</v>
      </c>
      <c r="B674" s="21" t="s">
        <v>2286</v>
      </c>
      <c r="C674" s="21" t="s">
        <v>2287</v>
      </c>
      <c r="D674" s="21" t="str">
        <f t="shared" si="1"/>
        <v>BlueMountain Capital Management - Former Senior Advisor</v>
      </c>
    </row>
    <row r="675" ht="15.75" customHeight="1">
      <c r="A675" s="21" t="s">
        <v>913</v>
      </c>
      <c r="B675" s="21" t="s">
        <v>2288</v>
      </c>
      <c r="C675" s="21" t="s">
        <v>2289</v>
      </c>
      <c r="D675" s="21" t="str">
        <f t="shared" si="1"/>
        <v>Bromley Trust - Trustee</v>
      </c>
    </row>
    <row r="676" ht="15.75" customHeight="1">
      <c r="A676" s="21" t="s">
        <v>921</v>
      </c>
      <c r="B676" s="21" t="s">
        <v>2290</v>
      </c>
      <c r="C676" s="21" t="s">
        <v>2291</v>
      </c>
      <c r="D676" s="21" t="str">
        <f t="shared" si="1"/>
        <v>Office of the Independent Counsel - Independent Counsel (Whitewater/Lewinsky investigation, 1994–1999)</v>
      </c>
    </row>
    <row r="677" ht="15.75" customHeight="1">
      <c r="A677" s="21" t="s">
        <v>921</v>
      </c>
      <c r="B677" s="21" t="s">
        <v>2292</v>
      </c>
      <c r="C677" s="21" t="s">
        <v>2293</v>
      </c>
      <c r="D677" s="21" t="str">
        <f t="shared" si="1"/>
        <v>Baylor University - Former President (2010–2016) and Chancellor (removed over campus sexual assault scandal)</v>
      </c>
    </row>
    <row r="678" ht="15.75" customHeight="1">
      <c r="A678" s="21" t="s">
        <v>921</v>
      </c>
      <c r="B678" s="21" t="s">
        <v>2294</v>
      </c>
      <c r="C678" s="21" t="s">
        <v>2295</v>
      </c>
      <c r="D678" s="21" t="str">
        <f t="shared" si="1"/>
        <v>Kirkland &amp; Ellis - Former Partner (appellate litigation)</v>
      </c>
    </row>
    <row r="679" ht="15.75" customHeight="1">
      <c r="A679" s="21" t="s">
        <v>921</v>
      </c>
      <c r="B679" s="21" t="s">
        <v>2296</v>
      </c>
      <c r="C679" s="21" t="s">
        <v>2297</v>
      </c>
      <c r="D679" s="21" t="str">
        <f t="shared" si="1"/>
        <v>U.S. Court of Appeals for the D.C. Circuit - Former Judge (1983–1989)</v>
      </c>
    </row>
    <row r="680" ht="15.75" customHeight="1">
      <c r="A680" s="21" t="s">
        <v>921</v>
      </c>
      <c r="B680" s="21" t="s">
        <v>2298</v>
      </c>
      <c r="C680" s="21" t="s">
        <v>2299</v>
      </c>
      <c r="D680" s="21" t="str">
        <f t="shared" si="1"/>
        <v>U.S. Solicitor General - Former Solicitor General (1989–1993; argued 25 cases before the Supreme Court)</v>
      </c>
    </row>
    <row r="681" ht="15.75" customHeight="1">
      <c r="A681" s="21" t="s">
        <v>929</v>
      </c>
      <c r="B681" s="21" t="s">
        <v>2300</v>
      </c>
      <c r="C681" s="21" t="s">
        <v>2301</v>
      </c>
      <c r="D681" s="21" t="str">
        <f t="shared" si="1"/>
        <v>National Basketball Association (NBA) - Former Commissioner (1984–2014)</v>
      </c>
    </row>
    <row r="682" ht="15.75" customHeight="1">
      <c r="A682" s="21" t="s">
        <v>929</v>
      </c>
      <c r="B682" s="21" t="s">
        <v>2302</v>
      </c>
      <c r="C682" s="21" t="s">
        <v>2303</v>
      </c>
      <c r="D682" s="21" t="str">
        <f t="shared" si="1"/>
        <v>NBA Properties - Overseer during tenure</v>
      </c>
    </row>
    <row r="683" ht="15.75" customHeight="1">
      <c r="A683" s="21" t="s">
        <v>929</v>
      </c>
      <c r="B683" s="21" t="s">
        <v>2304</v>
      </c>
      <c r="C683" s="21" t="s">
        <v>1771</v>
      </c>
      <c r="D683" s="21" t="str">
        <f t="shared" si="1"/>
        <v>Columbia Law School - Adjunct Professor</v>
      </c>
    </row>
    <row r="684" ht="15.75" customHeight="1">
      <c r="A684" s="21" t="s">
        <v>929</v>
      </c>
      <c r="B684" s="21" t="s">
        <v>2305</v>
      </c>
      <c r="D684" s="21" t="str">
        <f t="shared" si="1"/>
        <v>Previously a partner at Proskauer Rose (law firm)</v>
      </c>
    </row>
    <row r="685" ht="15.75" customHeight="1">
      <c r="A685" s="21" t="s">
        <v>936</v>
      </c>
      <c r="B685" s="21" t="s">
        <v>2306</v>
      </c>
      <c r="C685" s="21" t="s">
        <v>2307</v>
      </c>
      <c r="D685" s="21" t="str">
        <f t="shared" si="1"/>
        <v>DP World - Former Group Chairman &amp; CEO (resigned February 2026 over Epstein ties)</v>
      </c>
    </row>
    <row r="686" ht="15.75" customHeight="1">
      <c r="A686" s="21" t="s">
        <v>936</v>
      </c>
      <c r="B686" s="21" t="s">
        <v>2308</v>
      </c>
      <c r="C686" s="21" t="s">
        <v>1143</v>
      </c>
      <c r="D686" s="21" t="str">
        <f t="shared" si="1"/>
        <v>Ports, Customs &amp; Free Zone Corporation (PCFC) - Chairman</v>
      </c>
    </row>
    <row r="687" ht="15.75" customHeight="1">
      <c r="A687" s="21" t="s">
        <v>936</v>
      </c>
      <c r="B687" s="21" t="s">
        <v>2309</v>
      </c>
      <c r="C687" s="21" t="s">
        <v>2310</v>
      </c>
      <c r="D687" s="21" t="str">
        <f t="shared" si="1"/>
        <v>Nakheel - Founder (real estate developer; The Palm Islands, Dubai)</v>
      </c>
    </row>
    <row r="688" ht="15.75" customHeight="1">
      <c r="A688" s="21" t="s">
        <v>936</v>
      </c>
      <c r="B688" s="21" t="s">
        <v>2311</v>
      </c>
      <c r="C688" s="21" t="s">
        <v>2312</v>
      </c>
      <c r="D688" s="21" t="str">
        <f t="shared" si="1"/>
        <v>Dubai Multi Commodities Centre (DMCC) - Founding Chairman (commodities exchange)</v>
      </c>
    </row>
    <row r="689" ht="15.75" customHeight="1">
      <c r="A689" s="21" t="s">
        <v>936</v>
      </c>
      <c r="B689" s="21" t="s">
        <v>2313</v>
      </c>
      <c r="C689" s="21" t="s">
        <v>2314</v>
      </c>
      <c r="D689" s="21" t="str">
        <f t="shared" si="1"/>
        <v>P&amp;O Group - Led DP World's $6.8 billion acquisition in 2006</v>
      </c>
    </row>
    <row r="690" ht="15.75" customHeight="1">
      <c r="A690" s="21" t="s">
        <v>936</v>
      </c>
      <c r="B690" s="21" t="s">
        <v>2315</v>
      </c>
      <c r="D690" s="21" t="str">
        <f t="shared" si="1"/>
        <v>Under his leadership, DP World operated in 83 countries with 119,000+ employees, handling ~10% of global container trade</v>
      </c>
    </row>
    <row r="691" ht="15.75" customHeight="1">
      <c r="A691" s="21" t="s">
        <v>944</v>
      </c>
      <c r="B691" s="21" t="s">
        <v>2015</v>
      </c>
      <c r="C691" s="21" t="s">
        <v>2316</v>
      </c>
      <c r="D691" s="21" t="str">
        <f t="shared" si="1"/>
        <v>Harvard University - Charles W. Eliot University Professor (current tenured position); Former 27th President of Harvard University (2001–2006)</v>
      </c>
    </row>
    <row r="692" ht="15.75" customHeight="1">
      <c r="A692" s="21" t="s">
        <v>944</v>
      </c>
      <c r="B692" s="21" t="s">
        <v>2317</v>
      </c>
      <c r="C692" s="21" t="s">
        <v>2318</v>
      </c>
      <c r="D692" s="21" t="str">
        <f t="shared" si="1"/>
        <v>D.E. Shaw &amp; Co. - Former Part-time Managing Director (2006–2009; returned as advisor post-NEC)</v>
      </c>
    </row>
    <row r="693" ht="15.75" customHeight="1">
      <c r="A693" s="21" t="s">
        <v>944</v>
      </c>
      <c r="B693" s="21" t="s">
        <v>2319</v>
      </c>
      <c r="C693" s="21" t="s">
        <v>2320</v>
      </c>
      <c r="D693" s="21" t="str">
        <f t="shared" si="1"/>
        <v>White House National Economic Council - Former Director (2009–2010, under President Obama)</v>
      </c>
    </row>
    <row r="694" ht="15.75" customHeight="1">
      <c r="A694" s="21" t="s">
        <v>944</v>
      </c>
      <c r="B694" s="21" t="s">
        <v>2321</v>
      </c>
      <c r="C694" s="21" t="s">
        <v>2322</v>
      </c>
      <c r="D694" s="21" t="str">
        <f t="shared" si="1"/>
        <v>U.S. Department of the Treasury - Former Secretary of the Treasury (1999–2001, under President Clinton); Former Deputy Secretary (1995–1999)</v>
      </c>
    </row>
    <row r="695" ht="15.75" customHeight="1">
      <c r="A695" s="21" t="s">
        <v>944</v>
      </c>
      <c r="B695" s="21" t="s">
        <v>2323</v>
      </c>
      <c r="C695" s="21" t="s">
        <v>2324</v>
      </c>
      <c r="D695" s="21" t="str">
        <f t="shared" si="1"/>
        <v>World Bank - Former Chief Economist (1991–1993)</v>
      </c>
    </row>
    <row r="696" ht="15.75" customHeight="1">
      <c r="A696" s="21" t="s">
        <v>944</v>
      </c>
      <c r="B696" s="21" t="s">
        <v>2325</v>
      </c>
      <c r="D696" s="21" t="str">
        <f t="shared" si="1"/>
        <v>Former board roles: Square (Block) (since 2011), Andreessen Horowitz (special adviser), LendingClub, NASDAQ OMX Group</v>
      </c>
    </row>
    <row r="697" ht="15.75" customHeight="1">
      <c r="A697" s="21" t="s">
        <v>944</v>
      </c>
      <c r="B697" s="21" t="s">
        <v>2326</v>
      </c>
      <c r="D697" s="21" t="str">
        <f t="shared" si="1"/>
        <v>Paid advisory roles with Citigroup, Goldman Sachs</v>
      </c>
    </row>
    <row r="698" ht="15.75" customHeight="1">
      <c r="A698" s="21" t="s">
        <v>952</v>
      </c>
      <c r="B698" s="21" t="s">
        <v>2327</v>
      </c>
      <c r="C698" s="21" t="s">
        <v>2328</v>
      </c>
      <c r="D698" s="21" t="str">
        <f t="shared" si="1"/>
        <v>Shanghai Tang - Founder (luxury fashion brand, Hong Kong, 1994; sold to Richemont)</v>
      </c>
    </row>
    <row r="699" ht="15.75" customHeight="1">
      <c r="A699" s="21" t="s">
        <v>952</v>
      </c>
      <c r="B699" s="21" t="s">
        <v>2329</v>
      </c>
      <c r="C699" s="21" t="s">
        <v>2330</v>
      </c>
      <c r="D699" s="21" t="str">
        <f t="shared" si="1"/>
        <v>China Tang - Founder (restaurant at The Dorchester, London)</v>
      </c>
    </row>
    <row r="700" ht="15.75" customHeight="1">
      <c r="A700" s="21" t="s">
        <v>952</v>
      </c>
      <c r="B700" s="21" t="s">
        <v>2331</v>
      </c>
      <c r="C700" s="21" t="s">
        <v>2332</v>
      </c>
      <c r="D700" s="21" t="str">
        <f t="shared" si="1"/>
        <v>iClub Hotels - Founder (hotel chain, Hong Kong)</v>
      </c>
    </row>
    <row r="701" ht="15.75" customHeight="1">
      <c r="A701" s="21" t="s">
        <v>952</v>
      </c>
      <c r="B701" s="21" t="s">
        <v>2333</v>
      </c>
      <c r="C701" s="21" t="s">
        <v>2334</v>
      </c>
      <c r="D701" s="21" t="str">
        <f t="shared" si="1"/>
        <v>Tang Tang Tang Tang - Founder (lifestyle brand)</v>
      </c>
    </row>
    <row r="702" ht="15.75" customHeight="1">
      <c r="A702" s="21" t="s">
        <v>952</v>
      </c>
      <c r="B702" s="21" t="s">
        <v>2335</v>
      </c>
      <c r="D702" s="21" t="str">
        <f t="shared" si="1"/>
        <v>Patron of the arts and philanthropy in Hong Kong and London</v>
      </c>
    </row>
    <row r="703" ht="15.75" customHeight="1">
      <c r="A703" s="21" t="s">
        <v>959</v>
      </c>
      <c r="B703" s="21" t="s">
        <v>2336</v>
      </c>
      <c r="C703" s="21" t="s">
        <v>2337</v>
      </c>
      <c r="D703" s="21" t="str">
        <f t="shared" si="1"/>
        <v>Princeton University - Professor of Ecology and Evolutionary Biology</v>
      </c>
    </row>
    <row r="704" ht="15.75" customHeight="1">
      <c r="A704" s="21" t="s">
        <v>967</v>
      </c>
      <c r="B704" s="21" t="s">
        <v>2338</v>
      </c>
      <c r="C704" s="21" t="s">
        <v>2339</v>
      </c>
      <c r="D704" s="21" t="str">
        <f t="shared" si="1"/>
        <v>Palantir Technologies - Co-founder &amp; Chairman (since 2003)</v>
      </c>
    </row>
    <row r="705" ht="15.75" customHeight="1">
      <c r="A705" s="21" t="s">
        <v>967</v>
      </c>
      <c r="B705" s="21" t="s">
        <v>2340</v>
      </c>
      <c r="C705" s="21" t="s">
        <v>2341</v>
      </c>
      <c r="D705" s="21" t="str">
        <f t="shared" si="1"/>
        <v>Founders Fund - Co-founder &amp; Partner (venture capital, 2005)</v>
      </c>
    </row>
    <row r="706" ht="15.75" customHeight="1">
      <c r="A706" s="21" t="s">
        <v>967</v>
      </c>
      <c r="B706" s="21" t="s">
        <v>2342</v>
      </c>
      <c r="C706" s="21" t="s">
        <v>2343</v>
      </c>
      <c r="D706" s="21" t="str">
        <f t="shared" si="1"/>
        <v>Thiel Capital - Founder (family office/venture fund, 2011)</v>
      </c>
    </row>
    <row r="707" ht="15.75" customHeight="1">
      <c r="A707" s="21" t="s">
        <v>967</v>
      </c>
      <c r="B707" s="21" t="s">
        <v>2344</v>
      </c>
      <c r="C707" s="21" t="s">
        <v>2345</v>
      </c>
      <c r="D707" s="21" t="str">
        <f t="shared" si="1"/>
        <v>Valar Ventures - Co-founder (venture capital focused on international fintech, 2010; spun out of Thiel Capital)</v>
      </c>
    </row>
    <row r="708" ht="15.75" customHeight="1">
      <c r="A708" s="21" t="s">
        <v>967</v>
      </c>
      <c r="B708" s="21" t="s">
        <v>2346</v>
      </c>
      <c r="C708" s="21" t="s">
        <v>2347</v>
      </c>
      <c r="D708" s="21" t="str">
        <f t="shared" si="1"/>
        <v>Mithril Capital Management - Co-founder (growth-stage venture fund, 2012)</v>
      </c>
    </row>
    <row r="709" ht="15.75" customHeight="1">
      <c r="A709" s="21" t="s">
        <v>967</v>
      </c>
      <c r="B709" s="21" t="s">
        <v>2348</v>
      </c>
      <c r="C709" s="21" t="s">
        <v>2349</v>
      </c>
      <c r="D709" s="21" t="str">
        <f t="shared" si="1"/>
        <v>Clarium Capital - Founder (global macro hedge fund, San Francisco)</v>
      </c>
    </row>
    <row r="710" ht="15.75" customHeight="1">
      <c r="A710" s="21" t="s">
        <v>967</v>
      </c>
      <c r="B710" s="21" t="s">
        <v>1597</v>
      </c>
      <c r="C710" s="21" t="s">
        <v>2350</v>
      </c>
      <c r="D710" s="21" t="str">
        <f t="shared" si="1"/>
        <v>PayPal - Co-founder &amp; Former CEO (merged with X.com; sold to eBay 2002)</v>
      </c>
    </row>
    <row r="711" ht="15.75" customHeight="1">
      <c r="A711" s="21" t="s">
        <v>967</v>
      </c>
      <c r="B711" s="21" t="s">
        <v>2351</v>
      </c>
      <c r="C711" s="21" t="s">
        <v>2352</v>
      </c>
      <c r="D711" s="21" t="str">
        <f t="shared" si="1"/>
        <v>Thiel Fellowship - Founder ($100,000 grants to young entrepreneurs who skip college)</v>
      </c>
    </row>
    <row r="712" ht="15.75" customHeight="1">
      <c r="A712" s="21" t="s">
        <v>967</v>
      </c>
      <c r="B712" s="21" t="s">
        <v>2353</v>
      </c>
      <c r="C712" s="21" t="s">
        <v>2354</v>
      </c>
      <c r="D712" s="21" t="str">
        <f t="shared" si="1"/>
        <v>Breakout Labs - Founder (grants for early-stage science startups; spun out of Thiel Foundation)</v>
      </c>
    </row>
    <row r="713" ht="15.75" customHeight="1">
      <c r="A713" s="21" t="s">
        <v>967</v>
      </c>
      <c r="B713" s="21" t="s">
        <v>2355</v>
      </c>
      <c r="D713" s="21" t="str">
        <f t="shared" si="1"/>
        <v>First outside investor in Facebook/Meta</v>
      </c>
    </row>
    <row r="714" ht="15.75" customHeight="1">
      <c r="A714" s="21" t="s">
        <v>967</v>
      </c>
      <c r="B714" s="21" t="s">
        <v>2356</v>
      </c>
      <c r="D714" s="21" t="str">
        <f t="shared" si="1"/>
        <v>Early investor in Clearview AI (facial recognition, 2017)</v>
      </c>
    </row>
    <row r="715" ht="15.75" customHeight="1">
      <c r="A715" s="21" t="s">
        <v>967</v>
      </c>
      <c r="B715" s="21" t="s">
        <v>2357</v>
      </c>
      <c r="D715" s="21" t="str">
        <f t="shared" si="1"/>
        <v>Involvement in incubating Valinor Enterprises (defense incubator, 2024)</v>
      </c>
    </row>
    <row r="716" ht="15.75" customHeight="1">
      <c r="A716" s="21" t="s">
        <v>974</v>
      </c>
      <c r="B716" s="21" t="s">
        <v>1947</v>
      </c>
      <c r="C716" s="21" t="s">
        <v>2358</v>
      </c>
      <c r="D716" s="21" t="str">
        <f t="shared" si="1"/>
        <v>Prince Andrew Charitable Trust - Former Private Secretary and Trustee</v>
      </c>
    </row>
    <row r="717" ht="15.75" customHeight="1">
      <c r="A717" s="21" t="s">
        <v>974</v>
      </c>
      <c r="B717" s="21" t="s">
        <v>2359</v>
      </c>
      <c r="C717" s="21" t="s">
        <v>2360</v>
      </c>
      <c r="D717" s="21" t="str">
        <f t="shared" si="1"/>
        <v>Pitch@Palace - Former CEO (Prince Andrew's entrepreneurship initiative; renamed the Entrepreneurs Network after Andrew's withdrawal)</v>
      </c>
    </row>
    <row r="718" ht="15.75" customHeight="1">
      <c r="A718" s="21" t="s">
        <v>974</v>
      </c>
      <c r="B718" s="21" t="s">
        <v>2361</v>
      </c>
      <c r="C718" s="21" t="s">
        <v>2362</v>
      </c>
      <c r="D718" s="21" t="str">
        <f t="shared" si="1"/>
        <v>Former Private Secretary to Prince Andrew, Duke of York (2012 - 2019)</v>
      </c>
    </row>
    <row r="719" ht="15.75" customHeight="1">
      <c r="A719" s="21" t="s">
        <v>982</v>
      </c>
      <c r="B719" s="21" t="s">
        <v>2363</v>
      </c>
      <c r="C719" s="21" t="s">
        <v>2364</v>
      </c>
      <c r="D719" s="21" t="str">
        <f t="shared" si="1"/>
        <v>Mount Sinai Center for Transgender Medicine and Surgery - Director (surgeon specializing in gender-affirming surgery, New York)</v>
      </c>
    </row>
    <row r="720" ht="15.75" customHeight="1">
      <c r="A720" s="21" t="s">
        <v>990</v>
      </c>
      <c r="B720" s="21" t="s">
        <v>2365</v>
      </c>
      <c r="C720" s="21" t="s">
        <v>2366</v>
      </c>
      <c r="D720" s="21" t="str">
        <f t="shared" si="1"/>
        <v>New York Giants (NFL) - Chairman, Executive Vice President &amp; Co-owner (50% family stake, inherited from father Preston Robert Tisch)</v>
      </c>
    </row>
    <row r="721" ht="15.75" customHeight="1">
      <c r="A721" s="21" t="s">
        <v>990</v>
      </c>
      <c r="B721" s="21" t="s">
        <v>2367</v>
      </c>
      <c r="C721" s="21" t="s">
        <v>2368</v>
      </c>
      <c r="D721" s="21" t="str">
        <f t="shared" si="1"/>
        <v>Escape Artists Productions - Partner (film production company)</v>
      </c>
    </row>
    <row r="722" ht="15.75" customHeight="1">
      <c r="A722" s="21" t="s">
        <v>990</v>
      </c>
      <c r="B722" s="21" t="s">
        <v>2369</v>
      </c>
      <c r="C722" s="21" t="s">
        <v>2370</v>
      </c>
      <c r="D722" s="21" t="str">
        <f t="shared" si="1"/>
        <v>Tisch Family - Part of the broader Tisch family that controls Loews Corporation (insurance, energy, packaging, hotels)</v>
      </c>
    </row>
    <row r="723" ht="15.75" customHeight="1">
      <c r="A723" s="21" t="s">
        <v>990</v>
      </c>
      <c r="B723" s="21" t="s">
        <v>2371</v>
      </c>
      <c r="C723" s="21" t="s">
        <v>2372</v>
      </c>
      <c r="D723" s="21" t="str">
        <f t="shared" si="1"/>
        <v>Academy Award - winning film producer (*Forrest Gump*, *American History X*, *Snatch*)</v>
      </c>
    </row>
    <row r="724" ht="15.75" customHeight="1">
      <c r="A724" s="21" t="s">
        <v>997</v>
      </c>
      <c r="B724" s="21" t="s">
        <v>2373</v>
      </c>
      <c r="C724" s="21" t="s">
        <v>2374</v>
      </c>
      <c r="D724" s="21" t="str">
        <f t="shared" si="1"/>
        <v>Fédération Internationale de l'Automobile (FIA) - Former President (2009–2021; now Honorary President)</v>
      </c>
    </row>
    <row r="725" ht="15.75" customHeight="1">
      <c r="A725" s="21" t="s">
        <v>997</v>
      </c>
      <c r="B725" s="21" t="s">
        <v>2375</v>
      </c>
      <c r="C725" s="21" t="s">
        <v>2376</v>
      </c>
      <c r="D725" s="21" t="str">
        <f t="shared" si="1"/>
        <v>Ferrari S.p.A. - Former CEO (2004–2008); Former General Manager of the Racing Division (1993–2004)</v>
      </c>
    </row>
    <row r="726" ht="15.75" customHeight="1">
      <c r="A726" s="21" t="s">
        <v>997</v>
      </c>
      <c r="B726" s="21" t="s">
        <v>2377</v>
      </c>
      <c r="C726" s="21" t="s">
        <v>2378</v>
      </c>
      <c r="D726" s="21" t="str">
        <f t="shared" si="1"/>
        <v>Peugeot Talbot Sport - Former Director (1982–1993)</v>
      </c>
    </row>
    <row r="727" ht="15.75" customHeight="1">
      <c r="A727" s="21" t="s">
        <v>997</v>
      </c>
      <c r="B727" s="21" t="s">
        <v>2194</v>
      </c>
      <c r="C727" s="21" t="s">
        <v>2379</v>
      </c>
      <c r="D727" s="21" t="str">
        <f t="shared" si="1"/>
        <v>United Nations - Special Envoy for Road Safety (since 2015)</v>
      </c>
    </row>
    <row r="728" ht="15.75" customHeight="1">
      <c r="A728" s="21" t="s">
        <v>997</v>
      </c>
      <c r="B728" s="21" t="s">
        <v>2380</v>
      </c>
      <c r="C728" s="21" t="s">
        <v>2381</v>
      </c>
      <c r="D728" s="21" t="str">
        <f t="shared" si="1"/>
        <v>Brain Institute (ICM), Paris - Founding Vice-President (since 2005)</v>
      </c>
    </row>
    <row r="729" ht="15.75" customHeight="1">
      <c r="A729" s="21" t="s">
        <v>997</v>
      </c>
      <c r="B729" s="21" t="s">
        <v>2382</v>
      </c>
      <c r="C729" s="21" t="s">
        <v>2383</v>
      </c>
      <c r="D729" s="21" t="str">
        <f t="shared" si="1"/>
        <v>Suu Foundation - President (since 2014)</v>
      </c>
    </row>
    <row r="730" ht="15.75" customHeight="1">
      <c r="A730" s="21" t="s">
        <v>997</v>
      </c>
      <c r="B730" s="21" t="s">
        <v>2190</v>
      </c>
      <c r="C730" s="21" t="s">
        <v>2384</v>
      </c>
      <c r="D730" s="21" t="str">
        <f t="shared" si="1"/>
        <v>International Peace Institute (IPI) - Board Member (since 2015)</v>
      </c>
    </row>
    <row r="731" ht="15.75" customHeight="1">
      <c r="A731" s="21" t="s">
        <v>1004</v>
      </c>
      <c r="B731" s="21" t="s">
        <v>2385</v>
      </c>
      <c r="C731" s="21" t="s">
        <v>2386</v>
      </c>
      <c r="D731" s="21" t="str">
        <f t="shared" si="1"/>
        <v>Harvard Medical School - Former Faculty, Department of Neurology</v>
      </c>
    </row>
    <row r="732" ht="15.75" customHeight="1">
      <c r="A732" s="21" t="s">
        <v>1004</v>
      </c>
      <c r="B732" s="21" t="s">
        <v>2387</v>
      </c>
      <c r="C732" s="21" t="s">
        <v>2388</v>
      </c>
      <c r="D732" s="21" t="str">
        <f t="shared" si="1"/>
        <v>UC Irvine - Faculty, Department of Neurology</v>
      </c>
    </row>
    <row r="733" ht="15.75" customHeight="1">
      <c r="A733" s="21" t="s">
        <v>1010</v>
      </c>
      <c r="B733" s="21" t="s">
        <v>2389</v>
      </c>
      <c r="C733" s="21" t="s">
        <v>2390</v>
      </c>
      <c r="D733" s="21" t="str">
        <f t="shared" si="1"/>
        <v>Rutgers University - Professor of Anthropology and Biological Sciences (long tenure)</v>
      </c>
    </row>
    <row r="734" ht="15.75" customHeight="1">
      <c r="A734" s="21" t="s">
        <v>1017</v>
      </c>
      <c r="B734" s="21" t="s">
        <v>1469</v>
      </c>
      <c r="C734" s="21" t="s">
        <v>2391</v>
      </c>
      <c r="D734" s="21" t="str">
        <f t="shared" si="1"/>
        <v>United States of America - 45th &amp; 47th President (2017–2021, 2025–present)</v>
      </c>
    </row>
    <row r="735" ht="15.75" customHeight="1">
      <c r="A735" s="21" t="s">
        <v>1017</v>
      </c>
      <c r="B735" s="21" t="s">
        <v>2392</v>
      </c>
      <c r="C735" s="21" t="s">
        <v>2393</v>
      </c>
      <c r="D735" s="21" t="str">
        <f t="shared" si="1"/>
        <v>The Trump Organization - Founder/Owner (privately held conglomerate with 500+ entities; real estate, hotels, golf courses, licensing)</v>
      </c>
    </row>
    <row r="736" ht="15.75" customHeight="1">
      <c r="A736" s="21" t="s">
        <v>1017</v>
      </c>
      <c r="B736" s="21" t="s">
        <v>2394</v>
      </c>
      <c r="C736" s="21" t="s">
        <v>2395</v>
      </c>
      <c r="D736" s="21" t="str">
        <f t="shared" si="1"/>
        <v>Trump Media &amp; Technology Group (TMTG) - Majority owner (parent of Truth Social; publicly traded)</v>
      </c>
    </row>
    <row r="737" ht="15.75" customHeight="1">
      <c r="A737" s="21" t="s">
        <v>1017</v>
      </c>
      <c r="B737" s="21" t="s">
        <v>2396</v>
      </c>
      <c r="C737" s="21" t="s">
        <v>2397</v>
      </c>
      <c r="D737" s="21" t="str">
        <f t="shared" si="1"/>
        <v>Donald J. Trump Foundation - Former Chairman (dissolved 2018 under court supervision)</v>
      </c>
    </row>
    <row r="738" ht="15.75" customHeight="1">
      <c r="A738" s="21" t="s">
        <v>1017</v>
      </c>
      <c r="B738" s="21" t="s">
        <v>2398</v>
      </c>
      <c r="D738" s="21" t="str">
        <f t="shared" si="1"/>
        <v>Previously held interests in: Trump Hotels &amp; Casino Resorts, Miss Universe Organization, Trump University (dissolved), Trump Entertainment Resorts</v>
      </c>
    </row>
    <row r="739" ht="15.75" customHeight="1">
      <c r="A739" s="21" t="s">
        <v>1039</v>
      </c>
      <c r="B739" s="21" t="s">
        <v>2392</v>
      </c>
      <c r="C739" s="21" t="s">
        <v>2399</v>
      </c>
      <c r="D739" s="21" t="str">
        <f t="shared" si="1"/>
        <v>The Trump Organization - Executive Vice President and Trustee (co-managing since 2017)</v>
      </c>
    </row>
    <row r="740" ht="15.75" customHeight="1">
      <c r="A740" s="21" t="s">
        <v>1039</v>
      </c>
      <c r="B740" s="21" t="s">
        <v>2400</v>
      </c>
      <c r="C740" s="21" t="s">
        <v>1599</v>
      </c>
      <c r="D740" s="21" t="str">
        <f t="shared" si="1"/>
        <v>Trump Media &amp; Technology Group - Board of Directors</v>
      </c>
    </row>
    <row r="741" ht="15.75" customHeight="1">
      <c r="A741" s="21" t="s">
        <v>1039</v>
      </c>
      <c r="B741" s="21" t="s">
        <v>2401</v>
      </c>
      <c r="C741" s="21" t="s">
        <v>2402</v>
      </c>
      <c r="D741" s="21" t="str">
        <f t="shared" si="1"/>
        <v>1789 Capital - Partner (venture capital firm investing in conservative companies)</v>
      </c>
    </row>
    <row r="742" ht="15.75" customHeight="1">
      <c r="A742" s="21" t="s">
        <v>1039</v>
      </c>
      <c r="B742" s="21" t="s">
        <v>2403</v>
      </c>
      <c r="C742" s="21" t="s">
        <v>2404</v>
      </c>
      <c r="D742" s="21" t="str">
        <f t="shared" si="1"/>
        <v>Board memberships (post - 2024 election): PublicSquare, GrabAGun, BlinkRx, Colombier Acquisition Corp., Dominari Holdings (advisory board)</v>
      </c>
    </row>
    <row r="743" ht="15.75" customHeight="1">
      <c r="A743" s="21" t="s">
        <v>1025</v>
      </c>
      <c r="B743" s="21" t="s">
        <v>2392</v>
      </c>
      <c r="C743" s="21" t="s">
        <v>2399</v>
      </c>
      <c r="D743" s="21" t="str">
        <f t="shared" si="1"/>
        <v>The Trump Organization - Executive Vice President and Trustee (co-managing since 2017)</v>
      </c>
    </row>
    <row r="744" ht="15.75" customHeight="1">
      <c r="A744" s="21" t="s">
        <v>1025</v>
      </c>
      <c r="B744" s="21" t="s">
        <v>2405</v>
      </c>
      <c r="C744" s="21" t="s">
        <v>2406</v>
      </c>
      <c r="D744" s="21" t="str">
        <f t="shared" si="1"/>
        <v>Eric Trump Foundation - Founder (raised funds for St. Jude Children's Research Hospital; later renamed and restructured)</v>
      </c>
    </row>
    <row r="745" ht="15.75" customHeight="1">
      <c r="A745" s="21" t="s">
        <v>1025</v>
      </c>
      <c r="B745" s="21" t="s">
        <v>2407</v>
      </c>
      <c r="C745" s="21" t="s">
        <v>2408</v>
      </c>
      <c r="D745" s="21" t="str">
        <f t="shared" si="1"/>
        <v>Dominari Holdings - Advisory Board member</v>
      </c>
    </row>
    <row r="746" ht="15.75" customHeight="1">
      <c r="A746" s="21" t="s">
        <v>1025</v>
      </c>
      <c r="B746" s="21" t="s">
        <v>2409</v>
      </c>
      <c r="C746" s="21" t="s">
        <v>2410</v>
      </c>
      <c r="D746" s="21" t="str">
        <f t="shared" si="1"/>
        <v>Trump Winery - President (Charlottesville, Virginia)</v>
      </c>
    </row>
    <row r="747" ht="15.75" customHeight="1">
      <c r="A747" s="21" t="s">
        <v>1032</v>
      </c>
      <c r="B747" s="21" t="s">
        <v>2411</v>
      </c>
      <c r="C747" s="21" t="s">
        <v>2412</v>
      </c>
      <c r="D747" s="21" t="str">
        <f t="shared" si="1"/>
        <v>United States - First Lady (2017–2021, 2025–present)</v>
      </c>
    </row>
    <row r="748" ht="15.75" customHeight="1">
      <c r="A748" s="21" t="s">
        <v>1032</v>
      </c>
      <c r="B748" s="21" t="s">
        <v>2413</v>
      </c>
      <c r="C748" s="21" t="s">
        <v>2414</v>
      </c>
      <c r="D748" s="21" t="str">
        <f t="shared" si="1"/>
        <v>Be Best - Founder (children's well-being initiative during first term as First Lady)</v>
      </c>
    </row>
    <row r="749" ht="15.75" customHeight="1">
      <c r="A749" s="21" t="s">
        <v>1032</v>
      </c>
      <c r="B749" s="21" t="s">
        <v>2415</v>
      </c>
      <c r="C749" s="21" t="s">
        <v>2416</v>
      </c>
      <c r="D749" s="21" t="str">
        <f t="shared" si="1"/>
        <v>Melania Trump Brand - Head (personal branding, including memoir *Melania* published 2024; fashion and jewelry licensing)</v>
      </c>
    </row>
    <row r="750" ht="15.75" customHeight="1">
      <c r="A750" s="21" t="s">
        <v>1032</v>
      </c>
      <c r="B750" s="21" t="s">
        <v>2417</v>
      </c>
      <c r="C750" s="21" t="s">
        <v>2418</v>
      </c>
      <c r="D750" s="21" t="str">
        <f t="shared" si="1"/>
        <v>Head of State LLC - Founder (merchandising company)</v>
      </c>
    </row>
    <row r="751" ht="15.75" customHeight="1">
      <c r="A751" s="21" t="s">
        <v>1044</v>
      </c>
      <c r="B751" s="21" t="s">
        <v>2419</v>
      </c>
      <c r="C751" s="21" t="s">
        <v>2420</v>
      </c>
      <c r="D751" s="21" t="str">
        <f t="shared" si="1"/>
        <v>Johnsons Solicitors (Belfast) - Senior Partner (media law)</v>
      </c>
    </row>
    <row r="752" ht="15.75" customHeight="1">
      <c r="A752" s="21" t="s">
        <v>1052</v>
      </c>
      <c r="B752" s="21" t="s">
        <v>2421</v>
      </c>
      <c r="C752" s="21" t="s">
        <v>2422</v>
      </c>
      <c r="D752" s="21" t="str">
        <f t="shared" si="1"/>
        <v>Red Bull Racing - Former driver</v>
      </c>
    </row>
    <row r="753" ht="15.75" customHeight="1">
      <c r="A753" s="21" t="s">
        <v>1059</v>
      </c>
      <c r="B753" s="21" t="s">
        <v>2423</v>
      </c>
      <c r="C753" s="21" t="s">
        <v>2424</v>
      </c>
      <c r="D753" s="21" t="str">
        <f t="shared" si="1"/>
        <v>Government of Senegal - Former Minister of State for International Cooperation, Air Transport, Infrastructure and Energy (under his father, President Abdoulaye Wade)</v>
      </c>
    </row>
    <row r="754" ht="15.75" customHeight="1">
      <c r="A754" s="21" t="s">
        <v>1059</v>
      </c>
      <c r="B754" s="21" t="s">
        <v>2425</v>
      </c>
      <c r="D754" s="21" t="str">
        <f t="shared" si="1"/>
        <v>Convicted of illicit enrichment in Senegal (2015); later pardoned (2016)</v>
      </c>
    </row>
    <row r="755" ht="15.75" customHeight="1">
      <c r="A755" s="21" t="s">
        <v>1059</v>
      </c>
      <c r="B755" s="21" t="s">
        <v>2426</v>
      </c>
      <c r="C755" s="21" t="s">
        <v>2427</v>
      </c>
      <c r="D755" s="21" t="str">
        <f t="shared" si="1"/>
        <v>Member of the Parti Démocratique Sénégalais (PDS) - Selected as presidential candidate (2024)</v>
      </c>
    </row>
    <row r="756" ht="15.75" customHeight="1">
      <c r="A756" s="21" t="s">
        <v>1067</v>
      </c>
      <c r="B756" s="21" t="s">
        <v>2428</v>
      </c>
      <c r="C756" s="21" t="s">
        <v>2429</v>
      </c>
      <c r="D756" s="21" t="str">
        <f t="shared" si="1"/>
        <v>Michael Waltrip Racing (MWR) - Founder &amp; Former Co-owner (NASCAR team, 2007–2015)</v>
      </c>
    </row>
    <row r="757" ht="15.75" customHeight="1">
      <c r="A757" s="21" t="s">
        <v>1067</v>
      </c>
      <c r="B757" s="21" t="s">
        <v>2430</v>
      </c>
      <c r="C757" s="21" t="s">
        <v>2431</v>
      </c>
      <c r="D757" s="21" t="str">
        <f t="shared" si="1"/>
        <v>Waltrip Unfiltered - Founder (media/entertainment brand)</v>
      </c>
    </row>
    <row r="758" ht="15.75" customHeight="1">
      <c r="A758" s="21" t="s">
        <v>1067</v>
      </c>
      <c r="B758" s="21" t="s">
        <v>2432</v>
      </c>
      <c r="C758" s="21" t="s">
        <v>2433</v>
      </c>
      <c r="D758" s="21" t="str">
        <f t="shared" si="1"/>
        <v>Two - time Daytona 500 winner; NASCAR broadcaster (Fox Sports)</v>
      </c>
    </row>
    <row r="759" ht="15.75" customHeight="1">
      <c r="A759" s="21" t="s">
        <v>1074</v>
      </c>
      <c r="B759" s="21" t="s">
        <v>2434</v>
      </c>
      <c r="C759" s="21" t="s">
        <v>2435</v>
      </c>
      <c r="D759" s="21" t="str">
        <f t="shared" si="1"/>
        <v>Wasserman (Wasserman Media Group) - Founder, Chairman &amp; CEO (global sports, entertainment, and lifestyle marketing/management agency, 2002; announced sale February 2026 after Epstein-related fallout)</v>
      </c>
    </row>
    <row r="760" ht="15.75" customHeight="1">
      <c r="A760" s="21" t="s">
        <v>1074</v>
      </c>
      <c r="B760" s="21" t="s">
        <v>2436</v>
      </c>
      <c r="C760" s="21" t="s">
        <v>2437</v>
      </c>
      <c r="D760" s="21" t="str">
        <f t="shared" si="1"/>
        <v>LA28 (2028 Los Angeles Olympic Games) - Chairman of the Organizing Committee</v>
      </c>
    </row>
    <row r="761" ht="15.75" customHeight="1">
      <c r="A761" s="21" t="s">
        <v>1074</v>
      </c>
      <c r="B761" s="21" t="s">
        <v>2438</v>
      </c>
      <c r="C761" s="21" t="s">
        <v>2439</v>
      </c>
      <c r="D761" s="21" t="str">
        <f t="shared" si="1"/>
        <v>Brillstein Entertainment Partners - Acquired (2023; talent management)</v>
      </c>
    </row>
    <row r="762" ht="15.75" customHeight="1">
      <c r="A762" s="21" t="s">
        <v>1074</v>
      </c>
      <c r="B762" s="21" t="s">
        <v>2440</v>
      </c>
      <c r="D762" s="21" t="str">
        <f t="shared" si="1"/>
        <v>Formerly acquired Paradigm Music division (2021)</v>
      </c>
    </row>
    <row r="763" ht="15.75" customHeight="1">
      <c r="A763" s="21" t="s">
        <v>1074</v>
      </c>
      <c r="B763" s="21" t="s">
        <v>2441</v>
      </c>
      <c r="C763" s="21" t="s">
        <v>2442</v>
      </c>
      <c r="D763" s="21" t="str">
        <f t="shared" si="1"/>
        <v>Los Angeles Avengers - Former Owner (Arena Football League team, 1998)</v>
      </c>
    </row>
    <row r="764" ht="15.75" customHeight="1">
      <c r="A764" s="21" t="s">
        <v>1074</v>
      </c>
      <c r="B764" s="21" t="s">
        <v>1471</v>
      </c>
      <c r="C764" s="21" t="s">
        <v>2289</v>
      </c>
      <c r="D764" s="21" t="str">
        <f t="shared" si="1"/>
        <v>Clinton Foundation - Trustee</v>
      </c>
    </row>
    <row r="765" ht="15.75" customHeight="1">
      <c r="A765" s="21" t="s">
        <v>1074</v>
      </c>
      <c r="B765" s="21" t="s">
        <v>2443</v>
      </c>
      <c r="C765" s="21" t="s">
        <v>2444</v>
      </c>
      <c r="D765" s="21" t="str">
        <f t="shared" si="1"/>
        <v>Wasserman Foundation - Major philanthropic donor</v>
      </c>
    </row>
    <row r="766" ht="15.75" customHeight="1">
      <c r="A766" s="21" t="s">
        <v>1082</v>
      </c>
      <c r="B766" s="21" t="s">
        <v>2445</v>
      </c>
      <c r="C766" s="21" t="s">
        <v>2446</v>
      </c>
      <c r="D766" s="21" t="str">
        <f t="shared" si="1"/>
        <v>Miramax Films - Co-founder (with Bob Weinstein, 1979; sold to Disney in 1993 for $80 million)</v>
      </c>
    </row>
    <row r="767" ht="15.75" customHeight="1">
      <c r="A767" s="21" t="s">
        <v>1082</v>
      </c>
      <c r="B767" s="21" t="s">
        <v>2447</v>
      </c>
      <c r="C767" s="21" t="s">
        <v>2448</v>
      </c>
      <c r="D767" s="21" t="str">
        <f t="shared" si="1"/>
        <v>The Weinstein Company (TWC) - Co-founder &amp; Former Co-Chairman (2005; company filed for bankruptcy and was acquired by Lantern Capital in 2018)</v>
      </c>
    </row>
    <row r="768" ht="15.75" customHeight="1">
      <c r="A768" s="21" t="s">
        <v>1082</v>
      </c>
      <c r="B768" s="21" t="s">
        <v>2449</v>
      </c>
      <c r="C768" s="21" t="s">
        <v>2450</v>
      </c>
      <c r="D768" s="21" t="str">
        <f t="shared" si="1"/>
        <v>Dimension Films - Co-founder (genre film label within Miramax/TWC)</v>
      </c>
    </row>
    <row r="769" ht="15.75" customHeight="1">
      <c r="A769" s="21" t="s">
        <v>1082</v>
      </c>
      <c r="B769" s="21" t="s">
        <v>2451</v>
      </c>
      <c r="D769" s="21" t="str">
        <f t="shared" si="1"/>
        <v>Convicted of sex crimes; imprisoned</v>
      </c>
    </row>
    <row r="770" ht="15.75" customHeight="1">
      <c r="A770" s="21" t="s">
        <v>1090</v>
      </c>
      <c r="B770" s="21" t="s">
        <v>2452</v>
      </c>
      <c r="C770" s="21" t="s">
        <v>2453</v>
      </c>
      <c r="D770" s="21" t="str">
        <f t="shared" si="1"/>
        <v>L Brands (now Bath &amp; Body Works, Inc.) - Founder (1963); Former Chairman &amp; CEO (stepped down as CEO in 2020; Chairman Emeritus)</v>
      </c>
    </row>
    <row r="771" ht="15.75" customHeight="1">
      <c r="A771" s="21" t="s">
        <v>1090</v>
      </c>
      <c r="B771" s="21" t="s">
        <v>2454</v>
      </c>
      <c r="D771" s="21" t="str">
        <f t="shared" si="1"/>
        <v>Brands under L Brands included: Victoria's Secret, Bath &amp; Body Works, Pink, Henri Bendel, The White Barn Candle Company, La Senza</v>
      </c>
    </row>
    <row r="772" ht="15.75" customHeight="1">
      <c r="A772" s="21" t="s">
        <v>1090</v>
      </c>
      <c r="B772" s="21" t="s">
        <v>2455</v>
      </c>
      <c r="D772" s="21" t="str">
        <f t="shared" si="1"/>
        <v>Previous brands spun off: Abercrombie &amp; Fitch, Express, Lane Bryant, The Limited, Lerner New York, The Limited Too</v>
      </c>
    </row>
    <row r="773" ht="15.75" customHeight="1">
      <c r="A773" s="21" t="s">
        <v>1090</v>
      </c>
      <c r="B773" s="21" t="s">
        <v>2456</v>
      </c>
      <c r="C773" s="21" t="s">
        <v>2457</v>
      </c>
      <c r="D773" s="21" t="str">
        <f t="shared" si="1"/>
        <v>The Wexner Foundation - Founder (Jewish community leadership development)</v>
      </c>
    </row>
    <row r="774" ht="15.75" customHeight="1">
      <c r="A774" s="21" t="s">
        <v>1090</v>
      </c>
      <c r="B774" s="21" t="s">
        <v>2458</v>
      </c>
      <c r="C774" s="21" t="s">
        <v>2459</v>
      </c>
      <c r="D774" s="21" t="str">
        <f t="shared" si="1"/>
        <v>Wexner Center for the Arts (Ohio State University) - Founding patron</v>
      </c>
    </row>
    <row r="775" ht="15.75" customHeight="1">
      <c r="A775" s="21" t="s">
        <v>1090</v>
      </c>
      <c r="B775" s="21" t="s">
        <v>2460</v>
      </c>
      <c r="C775" s="21" t="s">
        <v>2461</v>
      </c>
      <c r="D775" s="21" t="str">
        <f t="shared" si="1"/>
        <v>Wexner Medical Center (Ohio State University) - Major benefactor</v>
      </c>
    </row>
    <row r="776" ht="15.75" customHeight="1">
      <c r="A776" s="21" t="s">
        <v>1090</v>
      </c>
      <c r="B776" s="21" t="s">
        <v>2462</v>
      </c>
      <c r="C776" s="21" t="s">
        <v>2463</v>
      </c>
      <c r="D776" s="21" t="str">
        <f t="shared" si="1"/>
        <v>New Albany Company - Co-developer (New Albany, Ohio planned community)</v>
      </c>
    </row>
    <row r="777" ht="15.75" customHeight="1">
      <c r="A777" s="21" t="s">
        <v>1090</v>
      </c>
      <c r="B777" s="21" t="s">
        <v>2464</v>
      </c>
      <c r="D777" s="21" t="str">
        <f t="shared" si="1"/>
        <v>Epstein served as Wexner's financial manager; Wexner later said Epstein "misappropriated vast sums"</v>
      </c>
    </row>
    <row r="778" ht="15.75" customHeight="1">
      <c r="A778" s="21" t="s">
        <v>1098</v>
      </c>
      <c r="B778" s="21" t="s">
        <v>2465</v>
      </c>
      <c r="C778" s="21" t="s">
        <v>2466</v>
      </c>
      <c r="D778" s="21" t="str">
        <f t="shared" si="1"/>
        <v>Metabiota - Founder &amp; Former CEO (pandemic risk analytics and disease surveillance company)</v>
      </c>
    </row>
    <row r="779" ht="15.75" customHeight="1">
      <c r="A779" s="21" t="s">
        <v>1098</v>
      </c>
      <c r="B779" s="21" t="s">
        <v>2467</v>
      </c>
      <c r="C779" s="21" t="s">
        <v>2468</v>
      </c>
      <c r="D779" s="21" t="str">
        <f t="shared" si="1"/>
        <v>Global Viral (now Labyrinth Global Health) - Founder (non-profit infectious disease research institute)</v>
      </c>
    </row>
    <row r="780" ht="15.75" customHeight="1">
      <c r="A780" s="21" t="s">
        <v>1098</v>
      </c>
      <c r="B780" s="21" t="s">
        <v>2469</v>
      </c>
      <c r="C780" s="21" t="s">
        <v>2470</v>
      </c>
      <c r="D780" s="21" t="str">
        <f t="shared" si="1"/>
        <v>Stanford University - Visiting Professor of Biology</v>
      </c>
    </row>
    <row r="781" ht="15.75" customHeight="1">
      <c r="A781" s="21" t="s">
        <v>1098</v>
      </c>
      <c r="B781" s="21" t="s">
        <v>2471</v>
      </c>
      <c r="D781" s="21" t="str">
        <f t="shared" si="1"/>
        <v>Member, DARPA Defense Science Research Council</v>
      </c>
    </row>
    <row r="782" ht="15.75" customHeight="1">
      <c r="A782" s="21" t="s">
        <v>1098</v>
      </c>
      <c r="B782" s="21" t="s">
        <v>2472</v>
      </c>
      <c r="D782" s="21" t="str">
        <f t="shared" si="1"/>
        <v>Board member, *EcoHealth* journal and *Scientific American*</v>
      </c>
    </row>
    <row r="783" ht="15.75" customHeight="1">
      <c r="A783" s="21" t="s">
        <v>1106</v>
      </c>
      <c r="B783" s="21" t="s">
        <v>2473</v>
      </c>
      <c r="C783" s="21" t="s">
        <v>2474</v>
      </c>
      <c r="D783" s="21" t="str">
        <f t="shared" si="1"/>
        <v>Newser - Co-founder (news aggregation website, 2007)</v>
      </c>
    </row>
    <row r="784" ht="15.75" customHeight="1">
      <c r="A784" s="21" t="s">
        <v>1106</v>
      </c>
      <c r="B784" s="21" t="s">
        <v>2475</v>
      </c>
      <c r="C784" s="21" t="s">
        <v>2476</v>
      </c>
      <c r="D784" s="21" t="str">
        <f t="shared" si="1"/>
        <v>Michael Wolff &amp; Company, Inc. - Founder (book-packaging/internet company, 1991; later collapsed)</v>
      </c>
    </row>
    <row r="785" ht="15.75" customHeight="1">
      <c r="A785" s="21" t="s">
        <v>1106</v>
      </c>
      <c r="B785" s="21" t="s">
        <v>2477</v>
      </c>
      <c r="C785" s="21" t="s">
        <v>2478</v>
      </c>
      <c r="D785" s="21" t="str">
        <f t="shared" si="1"/>
        <v>Wolff New Media - Founder (internet startup; documented in *Burn Rate*)</v>
      </c>
    </row>
    <row r="786" ht="15.75" customHeight="1">
      <c r="A786" s="21" t="s">
        <v>1106</v>
      </c>
      <c r="B786" s="21" t="s">
        <v>2479</v>
      </c>
      <c r="D786" s="21" t="str">
        <f t="shared" si="1"/>
        <v>Author: *Fire and Fury* (2018), *Siege* (2019), *Landslide* (2021), *All or Nothing* (2025)</v>
      </c>
    </row>
    <row r="787" ht="15.75" customHeight="1">
      <c r="A787" s="21" t="s">
        <v>1106</v>
      </c>
      <c r="B787" s="21" t="s">
        <v>2480</v>
      </c>
      <c r="D787" s="21" t="str">
        <f t="shared" si="1"/>
        <v>Former columnist/editor: *Adweek*, *Vanity Fair*, *USA Today*, *The Hollywood Reporter*</v>
      </c>
    </row>
    <row r="788" ht="15.75" customHeight="1">
      <c r="A788" s="21" t="s">
        <v>1113</v>
      </c>
      <c r="B788" s="21" t="s">
        <v>2481</v>
      </c>
      <c r="C788" s="21" t="s">
        <v>2482</v>
      </c>
      <c r="D788" s="21" t="str">
        <f t="shared" si="1"/>
        <v>Meta Platforms, Inc. (formerly Facebook, Inc.) - Founder, Chairman &amp; CEO (since 2004)</v>
      </c>
    </row>
    <row r="789" ht="15.75" customHeight="1">
      <c r="A789" s="21" t="s">
        <v>1113</v>
      </c>
      <c r="B789" s="21" t="s">
        <v>2483</v>
      </c>
      <c r="C789" s="21" t="s">
        <v>2484</v>
      </c>
      <c r="D789" s="21" t="str">
        <f t="shared" si="1"/>
        <v>Chan Zuckerberg Initiative (CZI) - Co-founder &amp; Co-CEO (with wife Priscilla Chan, 2015; LLC focused on education, science, justice reform)</v>
      </c>
    </row>
    <row r="790" ht="15.75" customHeight="1">
      <c r="A790" s="21" t="s">
        <v>1113</v>
      </c>
      <c r="B790" s="21" t="s">
        <v>2485</v>
      </c>
      <c r="D790" s="21" t="str">
        <f t="shared" si="1"/>
        <v>Companies owned by Meta include: Facebook, Instagram (acquired 2012, $1B), WhatsApp (acquired 2014, $19B), Oculus VR / Reality Labs (acquired 2014, $2B), Threads (launched 2023), Giphy, Mapillary, Kustomer, CTRL-Labs, and many others</v>
      </c>
    </row>
    <row r="791" ht="15.75" customHeight="1">
      <c r="A791" s="21" t="s">
        <v>1113</v>
      </c>
      <c r="B791" s="21" t="s">
        <v>2486</v>
      </c>
      <c r="C791" s="21" t="s">
        <v>2487</v>
      </c>
      <c r="D791" s="21" t="str">
        <f t="shared" si="1"/>
        <v>Meta AI - Division developing LLaMA and other AI models</v>
      </c>
    </row>
    <row r="792" ht="15.75" customHeight="1">
      <c r="A792" s="21" t="s">
        <v>1113</v>
      </c>
      <c r="B792" s="21" t="s">
        <v>2488</v>
      </c>
      <c r="D792" s="21" t="str">
        <f t="shared" si="1"/>
        <v>Owns approximately 12% of Meta stock</v>
      </c>
    </row>
    <row r="793" ht="15.75" customHeight="1">
      <c r="A793" s="21" t="s">
        <v>1120</v>
      </c>
      <c r="B793" s="21" t="s">
        <v>2489</v>
      </c>
      <c r="C793" s="21" t="s">
        <v>2490</v>
      </c>
      <c r="D793" s="21" t="str">
        <f t="shared" si="1"/>
        <v>South Africa - Former President (2009–2018; recalled by ANC)</v>
      </c>
    </row>
    <row r="794" ht="15.75" customHeight="1">
      <c r="A794" s="21" t="s">
        <v>1120</v>
      </c>
      <c r="B794" s="21" t="s">
        <v>2491</v>
      </c>
      <c r="C794" s="21" t="s">
        <v>2492</v>
      </c>
      <c r="D794" s="21" t="str">
        <f t="shared" si="1"/>
        <v>African National Congress (ANC) - Former President (2007–2017); Former Deputy President</v>
      </c>
    </row>
    <row r="795" ht="15.75" customHeight="1">
      <c r="A795" s="21" t="s">
        <v>1120</v>
      </c>
      <c r="B795" s="21" t="s">
        <v>2493</v>
      </c>
      <c r="C795" s="21" t="s">
        <v>2494</v>
      </c>
      <c r="D795" s="21" t="str">
        <f t="shared" si="1"/>
        <v>uMkhonto we Sizwe (MK) Party - Founder/Leader (new political party formed 2023, named after the ANC's former armed wing)</v>
      </c>
    </row>
    <row r="796" ht="15.75" customHeight="1">
      <c r="A796" s="21" t="s">
        <v>1120</v>
      </c>
      <c r="B796" s="21" t="s">
        <v>2495</v>
      </c>
      <c r="C796" s="21" t="s">
        <v>2496</v>
      </c>
      <c r="D796" s="21" t="str">
        <f t="shared" si="1"/>
        <v>Jacob Zuma RDP Educational Trust Fund - Founder (1998; has educated 20,000+ children)</v>
      </c>
    </row>
    <row r="797" ht="15.75" customHeight="1">
      <c r="A797" s="21" t="s">
        <v>1120</v>
      </c>
      <c r="B797" s="21" t="s">
        <v>2497</v>
      </c>
      <c r="C797" s="21" t="s">
        <v>2498</v>
      </c>
      <c r="D797" s="21" t="str">
        <f t="shared" si="1"/>
        <v>Moral Regeneration Movement - Founder/Launcher</v>
      </c>
    </row>
    <row r="798" ht="15.75" customHeight="1">
      <c r="A798" s="21" t="s">
        <v>1120</v>
      </c>
      <c r="B798" s="21" t="s">
        <v>2499</v>
      </c>
      <c r="C798" s="21" t="s">
        <v>2500</v>
      </c>
      <c r="D798" s="21" t="str">
        <f t="shared" si="1"/>
        <v>Former Deputy President of South Africa (1999 - 2005)</v>
      </c>
    </row>
    <row r="799" ht="15.75" customHeight="1">
      <c r="A799" s="21" t="s">
        <v>1120</v>
      </c>
      <c r="B799" s="21" t="s">
        <v>2501</v>
      </c>
      <c r="D799" s="21" t="str">
        <f t="shared" si="1"/>
        <v>Former Chairperson, South African National AIDS Council</v>
      </c>
    </row>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6.75"/>
    <col customWidth="1" min="2" max="2" width="21.0"/>
    <col customWidth="1" min="3" max="4" width="10.5"/>
    <col customWidth="1" min="5" max="5" width="9.63"/>
    <col customWidth="1" min="6" max="6" width="7.63"/>
  </cols>
  <sheetData>
    <row r="1" ht="39.75" customHeight="1">
      <c r="A1" s="23" t="s">
        <v>2502</v>
      </c>
      <c r="B1" s="24"/>
      <c r="C1" s="24"/>
      <c r="D1" s="24"/>
      <c r="E1" s="25"/>
    </row>
    <row r="2" ht="25.5" customHeight="1">
      <c r="A2" s="26" t="s">
        <v>2503</v>
      </c>
      <c r="B2" s="24"/>
      <c r="C2" s="24"/>
      <c r="D2" s="24"/>
      <c r="E2" s="25"/>
    </row>
    <row r="3" ht="27.0" customHeight="1">
      <c r="A3" s="27" t="s">
        <v>2504</v>
      </c>
      <c r="B3" s="27" t="s">
        <v>2505</v>
      </c>
      <c r="C3" s="27" t="s">
        <v>2506</v>
      </c>
      <c r="D3" s="27" t="s">
        <v>2507</v>
      </c>
      <c r="E3" s="27" t="s">
        <v>2508</v>
      </c>
      <c r="F3" s="28"/>
    </row>
    <row r="4" ht="7.5" customHeight="1"/>
    <row r="5" ht="31.5" customHeight="1">
      <c r="A5" s="29" t="s">
        <v>2509</v>
      </c>
      <c r="B5" s="24"/>
      <c r="C5" s="24"/>
      <c r="D5" s="24"/>
      <c r="E5" s="25"/>
    </row>
    <row r="6" ht="39.75" customHeight="1">
      <c r="A6" s="30" t="s">
        <v>2510</v>
      </c>
      <c r="B6" s="24"/>
      <c r="C6" s="24"/>
      <c r="D6" s="24"/>
      <c r="E6" s="25"/>
    </row>
    <row r="7" ht="24.0" customHeight="1">
      <c r="A7" s="27" t="s">
        <v>2504</v>
      </c>
      <c r="B7" s="27" t="s">
        <v>2505</v>
      </c>
      <c r="C7" s="27" t="s">
        <v>2506</v>
      </c>
      <c r="D7" s="27" t="s">
        <v>2507</v>
      </c>
      <c r="E7" s="27" t="s">
        <v>2508</v>
      </c>
    </row>
    <row r="8" ht="36.0" customHeight="1">
      <c r="A8" s="31" t="s">
        <v>2511</v>
      </c>
      <c r="B8" s="32" t="s">
        <v>203</v>
      </c>
      <c r="C8" s="33" t="s">
        <v>64</v>
      </c>
      <c r="D8" s="34" t="s">
        <v>2512</v>
      </c>
      <c r="E8" s="35" t="s">
        <v>2513</v>
      </c>
    </row>
    <row r="9" ht="36.0" customHeight="1">
      <c r="A9" s="31" t="s">
        <v>2514</v>
      </c>
      <c r="B9" s="32" t="s">
        <v>1113</v>
      </c>
      <c r="C9" s="36" t="s">
        <v>98</v>
      </c>
      <c r="D9" s="34" t="s">
        <v>2512</v>
      </c>
      <c r="E9" s="35" t="s">
        <v>2513</v>
      </c>
    </row>
    <row r="10" ht="36.0" customHeight="1">
      <c r="A10" s="31" t="s">
        <v>2515</v>
      </c>
      <c r="B10" s="32" t="s">
        <v>376</v>
      </c>
      <c r="C10" s="37" t="s">
        <v>54</v>
      </c>
      <c r="D10" s="34" t="s">
        <v>2512</v>
      </c>
      <c r="E10" s="38" t="s">
        <v>2516</v>
      </c>
    </row>
    <row r="11" ht="36.0" customHeight="1">
      <c r="A11" s="31" t="s">
        <v>2517</v>
      </c>
      <c r="B11" s="32" t="s">
        <v>416</v>
      </c>
      <c r="C11" s="37" t="s">
        <v>54</v>
      </c>
      <c r="D11" s="34" t="s">
        <v>2512</v>
      </c>
      <c r="E11" s="38" t="s">
        <v>2516</v>
      </c>
    </row>
    <row r="12" ht="36.0" customHeight="1">
      <c r="A12" s="39" t="s">
        <v>2518</v>
      </c>
      <c r="B12" s="40" t="s">
        <v>632</v>
      </c>
      <c r="C12" s="37" t="s">
        <v>54</v>
      </c>
      <c r="D12" s="41"/>
      <c r="E12" s="35" t="s">
        <v>2513</v>
      </c>
    </row>
    <row r="13" ht="36.0" customHeight="1">
      <c r="A13" s="31" t="s">
        <v>2519</v>
      </c>
      <c r="B13" s="32" t="s">
        <v>944</v>
      </c>
      <c r="C13" s="37" t="s">
        <v>54</v>
      </c>
      <c r="D13" s="34" t="s">
        <v>2512</v>
      </c>
      <c r="E13" s="38" t="s">
        <v>2516</v>
      </c>
    </row>
    <row r="14" ht="36.0" customHeight="1">
      <c r="A14" s="39" t="s">
        <v>2520</v>
      </c>
      <c r="B14" s="40" t="s">
        <v>967</v>
      </c>
      <c r="C14" s="37" t="s">
        <v>54</v>
      </c>
      <c r="D14" s="41"/>
      <c r="E14" s="35" t="s">
        <v>2513</v>
      </c>
    </row>
    <row r="15" ht="36.0" customHeight="1">
      <c r="A15" s="31" t="s">
        <v>2521</v>
      </c>
      <c r="B15" s="32" t="s">
        <v>967</v>
      </c>
      <c r="C15" s="37" t="s">
        <v>54</v>
      </c>
      <c r="D15" s="34" t="s">
        <v>2512</v>
      </c>
      <c r="E15" s="35" t="s">
        <v>2513</v>
      </c>
    </row>
    <row r="16" ht="36.0" customHeight="1">
      <c r="A16" s="39" t="s">
        <v>2522</v>
      </c>
      <c r="B16" s="40" t="s">
        <v>632</v>
      </c>
      <c r="C16" s="37" t="s">
        <v>54</v>
      </c>
      <c r="D16" s="41"/>
      <c r="E16" s="35" t="s">
        <v>2513</v>
      </c>
    </row>
    <row r="17" ht="12.0" customHeight="1"/>
    <row r="18" ht="31.5" customHeight="1">
      <c r="A18" s="29" t="s">
        <v>2523</v>
      </c>
      <c r="B18" s="24"/>
      <c r="C18" s="24"/>
      <c r="D18" s="24"/>
      <c r="E18" s="25"/>
    </row>
    <row r="19" ht="39.75" customHeight="1">
      <c r="A19" s="30" t="s">
        <v>2524</v>
      </c>
      <c r="B19" s="24"/>
      <c r="C19" s="24"/>
      <c r="D19" s="24"/>
      <c r="E19" s="25"/>
    </row>
    <row r="20" ht="24.0" customHeight="1">
      <c r="A20" s="27" t="s">
        <v>2504</v>
      </c>
      <c r="B20" s="27" t="s">
        <v>2505</v>
      </c>
      <c r="C20" s="27" t="s">
        <v>2506</v>
      </c>
      <c r="D20" s="27" t="s">
        <v>2507</v>
      </c>
      <c r="E20" s="27" t="s">
        <v>2508</v>
      </c>
    </row>
    <row r="21" ht="36.0" customHeight="1">
      <c r="A21" s="39" t="s">
        <v>2525</v>
      </c>
      <c r="B21" s="40" t="s">
        <v>1090</v>
      </c>
      <c r="C21" s="42" t="s">
        <v>73</v>
      </c>
      <c r="D21" s="41"/>
      <c r="E21" s="38" t="s">
        <v>2516</v>
      </c>
    </row>
    <row r="22" ht="36.0" customHeight="1">
      <c r="A22" s="31" t="s">
        <v>2526</v>
      </c>
      <c r="B22" s="32" t="s">
        <v>551</v>
      </c>
      <c r="C22" s="37" t="s">
        <v>54</v>
      </c>
      <c r="D22" s="34" t="s">
        <v>2512</v>
      </c>
      <c r="E22" s="35" t="s">
        <v>2513</v>
      </c>
    </row>
    <row r="23" ht="36.0" customHeight="1">
      <c r="A23" s="31" t="s">
        <v>2527</v>
      </c>
      <c r="B23" s="32" t="s">
        <v>2528</v>
      </c>
      <c r="C23" s="33" t="s">
        <v>64</v>
      </c>
      <c r="D23" s="34" t="s">
        <v>2512</v>
      </c>
      <c r="E23" s="35" t="s">
        <v>2513</v>
      </c>
    </row>
    <row r="24" ht="36.0" customHeight="1">
      <c r="A24" s="31" t="s">
        <v>2529</v>
      </c>
      <c r="B24" s="32" t="s">
        <v>279</v>
      </c>
      <c r="C24" s="36" t="s">
        <v>98</v>
      </c>
      <c r="D24" s="34" t="s">
        <v>2512</v>
      </c>
      <c r="E24" s="35" t="s">
        <v>2513</v>
      </c>
    </row>
    <row r="25" ht="36.0" customHeight="1">
      <c r="A25" s="31" t="s">
        <v>2530</v>
      </c>
      <c r="B25" s="32" t="s">
        <v>2531</v>
      </c>
      <c r="C25" s="37" t="s">
        <v>54</v>
      </c>
      <c r="D25" s="34" t="s">
        <v>2512</v>
      </c>
      <c r="E25" s="38" t="s">
        <v>2516</v>
      </c>
    </row>
    <row r="26" ht="36.0" customHeight="1">
      <c r="A26" s="31" t="s">
        <v>2532</v>
      </c>
      <c r="B26" s="32" t="s">
        <v>610</v>
      </c>
      <c r="C26" s="42" t="s">
        <v>73</v>
      </c>
      <c r="D26" s="34" t="s">
        <v>2512</v>
      </c>
      <c r="E26" s="38" t="s">
        <v>2516</v>
      </c>
    </row>
    <row r="27" ht="36.0" customHeight="1">
      <c r="A27" s="31" t="s">
        <v>2533</v>
      </c>
      <c r="B27" s="32" t="s">
        <v>610</v>
      </c>
      <c r="C27" s="42" t="s">
        <v>73</v>
      </c>
      <c r="D27" s="34" t="s">
        <v>2512</v>
      </c>
      <c r="E27" s="38" t="s">
        <v>2516</v>
      </c>
    </row>
    <row r="28" ht="36.0" customHeight="1">
      <c r="A28" s="43" t="s">
        <v>2534</v>
      </c>
      <c r="B28" s="44" t="s">
        <v>822</v>
      </c>
      <c r="C28" s="37" t="s">
        <v>54</v>
      </c>
      <c r="D28" s="45"/>
      <c r="E28" s="35" t="s">
        <v>2513</v>
      </c>
    </row>
    <row r="29" ht="36.0" customHeight="1">
      <c r="A29" s="31" t="s">
        <v>2535</v>
      </c>
      <c r="B29" s="32" t="s">
        <v>573</v>
      </c>
      <c r="C29" s="42" t="s">
        <v>73</v>
      </c>
      <c r="D29" s="34" t="s">
        <v>2512</v>
      </c>
      <c r="E29" s="38" t="s">
        <v>2516</v>
      </c>
    </row>
    <row r="30" ht="36.0" customHeight="1">
      <c r="A30" s="43" t="s">
        <v>2536</v>
      </c>
      <c r="B30" s="44" t="s">
        <v>1039</v>
      </c>
      <c r="C30" s="36" t="s">
        <v>98</v>
      </c>
      <c r="D30" s="45"/>
      <c r="E30" s="35" t="s">
        <v>2513</v>
      </c>
    </row>
    <row r="31" ht="36.0" customHeight="1">
      <c r="A31" s="39" t="s">
        <v>2537</v>
      </c>
      <c r="B31" s="40" t="s">
        <v>279</v>
      </c>
      <c r="C31" s="36" t="s">
        <v>98</v>
      </c>
      <c r="D31" s="41"/>
      <c r="E31" s="35" t="s">
        <v>2513</v>
      </c>
    </row>
    <row r="32" ht="36.0" customHeight="1">
      <c r="A32" s="43" t="s">
        <v>2538</v>
      </c>
      <c r="B32" s="44" t="s">
        <v>632</v>
      </c>
      <c r="C32" s="37" t="s">
        <v>54</v>
      </c>
      <c r="D32" s="45"/>
      <c r="E32" s="35" t="s">
        <v>2513</v>
      </c>
    </row>
    <row r="33" ht="12.0" customHeight="1"/>
    <row r="34" ht="31.5" customHeight="1">
      <c r="A34" s="29" t="s">
        <v>2539</v>
      </c>
      <c r="B34" s="24"/>
      <c r="C34" s="24"/>
      <c r="D34" s="24"/>
      <c r="E34" s="25"/>
    </row>
    <row r="35" ht="39.75" customHeight="1">
      <c r="A35" s="30" t="s">
        <v>2540</v>
      </c>
      <c r="B35" s="24"/>
      <c r="C35" s="24"/>
      <c r="D35" s="24"/>
      <c r="E35" s="25"/>
    </row>
    <row r="36" ht="24.0" customHeight="1">
      <c r="A36" s="27" t="s">
        <v>2504</v>
      </c>
      <c r="B36" s="27" t="s">
        <v>2505</v>
      </c>
      <c r="C36" s="27" t="s">
        <v>2506</v>
      </c>
      <c r="D36" s="27" t="s">
        <v>2507</v>
      </c>
      <c r="E36" s="27" t="s">
        <v>2508</v>
      </c>
    </row>
    <row r="37" ht="36.0" customHeight="1">
      <c r="A37" s="39" t="s">
        <v>2541</v>
      </c>
      <c r="B37" s="40" t="s">
        <v>990</v>
      </c>
      <c r="C37" s="33" t="s">
        <v>64</v>
      </c>
      <c r="D37" s="41"/>
      <c r="E37" s="35" t="s">
        <v>2513</v>
      </c>
    </row>
    <row r="38" ht="36.0" customHeight="1">
      <c r="A38" s="43" t="s">
        <v>2542</v>
      </c>
      <c r="B38" s="44" t="s">
        <v>402</v>
      </c>
      <c r="C38" s="33" t="s">
        <v>64</v>
      </c>
      <c r="D38" s="45"/>
      <c r="E38" s="38" t="s">
        <v>2516</v>
      </c>
    </row>
    <row r="39" ht="36.0" customHeight="1">
      <c r="A39" s="39" t="s">
        <v>2543</v>
      </c>
      <c r="B39" s="40" t="s">
        <v>402</v>
      </c>
      <c r="C39" s="33" t="s">
        <v>64</v>
      </c>
      <c r="D39" s="41"/>
      <c r="E39" s="38" t="s">
        <v>2516</v>
      </c>
    </row>
    <row r="40" ht="36.0" customHeight="1">
      <c r="A40" s="43" t="s">
        <v>2544</v>
      </c>
      <c r="B40" s="44" t="s">
        <v>402</v>
      </c>
      <c r="C40" s="33" t="s">
        <v>64</v>
      </c>
      <c r="D40" s="45"/>
      <c r="E40" s="38" t="s">
        <v>2516</v>
      </c>
    </row>
    <row r="41" ht="36.0" customHeight="1">
      <c r="A41" s="39" t="s">
        <v>2545</v>
      </c>
      <c r="B41" s="40" t="s">
        <v>152</v>
      </c>
      <c r="C41" s="36" t="s">
        <v>98</v>
      </c>
      <c r="D41" s="41"/>
      <c r="E41" s="35" t="s">
        <v>2513</v>
      </c>
    </row>
    <row r="42" ht="36.0" customHeight="1">
      <c r="A42" s="43" t="s">
        <v>2546</v>
      </c>
      <c r="B42" s="44" t="s">
        <v>402</v>
      </c>
      <c r="C42" s="33" t="s">
        <v>64</v>
      </c>
      <c r="D42" s="45"/>
      <c r="E42" s="38" t="s">
        <v>2516</v>
      </c>
    </row>
    <row r="43" ht="36.0" customHeight="1">
      <c r="A43" s="39" t="s">
        <v>2547</v>
      </c>
      <c r="B43" s="40" t="s">
        <v>152</v>
      </c>
      <c r="C43" s="36" t="s">
        <v>98</v>
      </c>
      <c r="D43" s="41"/>
      <c r="E43" s="35" t="s">
        <v>2513</v>
      </c>
    </row>
    <row r="44" ht="36.0" customHeight="1">
      <c r="A44" s="43" t="s">
        <v>2548</v>
      </c>
      <c r="B44" s="44" t="s">
        <v>390</v>
      </c>
      <c r="C44" s="36" t="s">
        <v>98</v>
      </c>
      <c r="D44" s="45"/>
      <c r="E44" s="35" t="s">
        <v>2513</v>
      </c>
    </row>
    <row r="45" ht="36.0" customHeight="1">
      <c r="A45" s="39" t="s">
        <v>2549</v>
      </c>
      <c r="B45" s="40" t="s">
        <v>1067</v>
      </c>
      <c r="C45" s="36" t="s">
        <v>98</v>
      </c>
      <c r="D45" s="41"/>
      <c r="E45" s="35" t="s">
        <v>2513</v>
      </c>
    </row>
    <row r="46" ht="36.0" customHeight="1">
      <c r="A46" s="43" t="s">
        <v>2550</v>
      </c>
      <c r="B46" s="44" t="s">
        <v>822</v>
      </c>
      <c r="C46" s="37" t="s">
        <v>54</v>
      </c>
      <c r="D46" s="45"/>
      <c r="E46" s="35" t="s">
        <v>2513</v>
      </c>
    </row>
    <row r="47" ht="36.0" customHeight="1">
      <c r="A47" s="39" t="s">
        <v>2551</v>
      </c>
      <c r="B47" s="40" t="s">
        <v>1074</v>
      </c>
      <c r="C47" s="36" t="s">
        <v>98</v>
      </c>
      <c r="D47" s="41"/>
      <c r="E47" s="35" t="s">
        <v>2513</v>
      </c>
    </row>
    <row r="48" ht="36.0" customHeight="1">
      <c r="A48" s="31" t="s">
        <v>2552</v>
      </c>
      <c r="B48" s="32" t="s">
        <v>1074</v>
      </c>
      <c r="C48" s="36" t="s">
        <v>98</v>
      </c>
      <c r="D48" s="34" t="s">
        <v>2512</v>
      </c>
      <c r="E48" s="35" t="s">
        <v>2513</v>
      </c>
    </row>
    <row r="49" ht="12.0" customHeight="1"/>
    <row r="50" ht="31.5" customHeight="1">
      <c r="A50" s="29" t="s">
        <v>2553</v>
      </c>
      <c r="B50" s="24"/>
      <c r="C50" s="24"/>
      <c r="D50" s="24"/>
      <c r="E50" s="25"/>
    </row>
    <row r="51" ht="39.75" customHeight="1">
      <c r="A51" s="30" t="s">
        <v>2554</v>
      </c>
      <c r="B51" s="24"/>
      <c r="C51" s="24"/>
      <c r="D51" s="24"/>
      <c r="E51" s="25"/>
    </row>
    <row r="52" ht="24.0" customHeight="1">
      <c r="A52" s="27" t="s">
        <v>2504</v>
      </c>
      <c r="B52" s="27" t="s">
        <v>2505</v>
      </c>
      <c r="C52" s="27" t="s">
        <v>2506</v>
      </c>
      <c r="D52" s="27" t="s">
        <v>2507</v>
      </c>
      <c r="E52" s="27" t="s">
        <v>2508</v>
      </c>
    </row>
    <row r="53" ht="36.0" customHeight="1">
      <c r="A53" s="39" t="s">
        <v>2555</v>
      </c>
      <c r="B53" s="40" t="s">
        <v>152</v>
      </c>
      <c r="C53" s="36" t="s">
        <v>98</v>
      </c>
      <c r="D53" s="41"/>
      <c r="E53" s="35" t="s">
        <v>2513</v>
      </c>
    </row>
    <row r="54" ht="36.0" customHeight="1">
      <c r="A54" s="31" t="s">
        <v>2556</v>
      </c>
      <c r="B54" s="32" t="s">
        <v>152</v>
      </c>
      <c r="C54" s="36" t="s">
        <v>98</v>
      </c>
      <c r="D54" s="34" t="s">
        <v>2512</v>
      </c>
      <c r="E54" s="35" t="s">
        <v>2513</v>
      </c>
    </row>
    <row r="55" ht="36.0" customHeight="1">
      <c r="A55" s="31" t="s">
        <v>2557</v>
      </c>
      <c r="B55" s="32" t="s">
        <v>152</v>
      </c>
      <c r="C55" s="36" t="s">
        <v>98</v>
      </c>
      <c r="D55" s="34" t="s">
        <v>2512</v>
      </c>
      <c r="E55" s="35" t="s">
        <v>2513</v>
      </c>
    </row>
    <row r="56" ht="36.0" customHeight="1">
      <c r="A56" s="43" t="s">
        <v>2558</v>
      </c>
      <c r="B56" s="44" t="s">
        <v>218</v>
      </c>
      <c r="C56" s="33" t="s">
        <v>64</v>
      </c>
      <c r="D56" s="45"/>
      <c r="E56" s="35" t="s">
        <v>2513</v>
      </c>
    </row>
    <row r="57" ht="36.0" customHeight="1">
      <c r="A57" s="39" t="s">
        <v>2559</v>
      </c>
      <c r="B57" s="40" t="s">
        <v>218</v>
      </c>
      <c r="C57" s="33" t="s">
        <v>64</v>
      </c>
      <c r="D57" s="41"/>
      <c r="E57" s="35" t="s">
        <v>2513</v>
      </c>
    </row>
    <row r="58" ht="36.0" customHeight="1">
      <c r="A58" s="31" t="s">
        <v>2560</v>
      </c>
      <c r="B58" s="32" t="s">
        <v>2528</v>
      </c>
      <c r="C58" s="33" t="s">
        <v>64</v>
      </c>
      <c r="D58" s="34" t="s">
        <v>2512</v>
      </c>
      <c r="E58" s="35" t="s">
        <v>2513</v>
      </c>
    </row>
    <row r="59" ht="36.0" customHeight="1">
      <c r="A59" s="31" t="s">
        <v>2561</v>
      </c>
      <c r="B59" s="32" t="s">
        <v>2562</v>
      </c>
      <c r="C59" s="36" t="s">
        <v>98</v>
      </c>
      <c r="D59" s="34" t="s">
        <v>2512</v>
      </c>
      <c r="E59" s="35" t="s">
        <v>2513</v>
      </c>
    </row>
    <row r="60" ht="36.0" customHeight="1">
      <c r="A60" s="43" t="s">
        <v>2563</v>
      </c>
      <c r="B60" s="44" t="s">
        <v>112</v>
      </c>
      <c r="C60" s="42" t="s">
        <v>73</v>
      </c>
      <c r="D60" s="45"/>
      <c r="E60" s="35" t="s">
        <v>2513</v>
      </c>
    </row>
    <row r="61" ht="36.0" customHeight="1">
      <c r="A61" s="39" t="s">
        <v>2564</v>
      </c>
      <c r="B61" s="40" t="s">
        <v>112</v>
      </c>
      <c r="C61" s="42" t="s">
        <v>73</v>
      </c>
      <c r="D61" s="41"/>
      <c r="E61" s="35" t="s">
        <v>2513</v>
      </c>
    </row>
    <row r="62" ht="36.0" customHeight="1">
      <c r="A62" s="43" t="s">
        <v>2565</v>
      </c>
      <c r="B62" s="44" t="s">
        <v>1017</v>
      </c>
      <c r="C62" s="33" t="s">
        <v>64</v>
      </c>
      <c r="D62" s="45"/>
      <c r="E62" s="38" t="s">
        <v>2516</v>
      </c>
    </row>
    <row r="63" ht="36.0" customHeight="1">
      <c r="A63" s="39" t="s">
        <v>2566</v>
      </c>
      <c r="B63" s="40" t="s">
        <v>53</v>
      </c>
      <c r="C63" s="37" t="s">
        <v>54</v>
      </c>
      <c r="D63" s="41"/>
      <c r="E63" s="35" t="s">
        <v>2513</v>
      </c>
    </row>
    <row r="64" ht="36.0" customHeight="1">
      <c r="A64" s="31" t="s">
        <v>2567</v>
      </c>
      <c r="B64" s="32" t="s">
        <v>2568</v>
      </c>
      <c r="C64" s="37" t="s">
        <v>54</v>
      </c>
      <c r="D64" s="34" t="s">
        <v>2512</v>
      </c>
      <c r="E64" s="38" t="s">
        <v>2516</v>
      </c>
    </row>
    <row r="65" ht="36.0" customHeight="1">
      <c r="A65" s="39" t="s">
        <v>2569</v>
      </c>
      <c r="B65" s="40" t="s">
        <v>271</v>
      </c>
      <c r="C65" s="37" t="s">
        <v>54</v>
      </c>
      <c r="D65" s="41"/>
      <c r="E65" s="38" t="s">
        <v>2516</v>
      </c>
    </row>
    <row r="66" ht="36.0" customHeight="1">
      <c r="A66" s="43" t="s">
        <v>2570</v>
      </c>
      <c r="B66" s="44" t="s">
        <v>1106</v>
      </c>
      <c r="C66" s="33" t="s">
        <v>64</v>
      </c>
      <c r="D66" s="45"/>
      <c r="E66" s="35" t="s">
        <v>2513</v>
      </c>
    </row>
    <row r="67" ht="36.0" customHeight="1">
      <c r="A67" s="39" t="s">
        <v>2571</v>
      </c>
      <c r="B67" s="40" t="s">
        <v>477</v>
      </c>
      <c r="C67" s="33" t="s">
        <v>64</v>
      </c>
      <c r="D67" s="41"/>
      <c r="E67" s="38" t="s">
        <v>2516</v>
      </c>
    </row>
    <row r="68" ht="36.0" customHeight="1">
      <c r="A68" s="43" t="s">
        <v>2572</v>
      </c>
      <c r="B68" s="44" t="s">
        <v>1128</v>
      </c>
      <c r="C68" s="36" t="s">
        <v>98</v>
      </c>
      <c r="D68" s="45"/>
      <c r="E68" s="35" t="s">
        <v>2513</v>
      </c>
    </row>
    <row r="69" ht="36.0" customHeight="1">
      <c r="A69" s="39" t="s">
        <v>2573</v>
      </c>
      <c r="B69" s="40" t="s">
        <v>2574</v>
      </c>
      <c r="C69" s="36" t="s">
        <v>98</v>
      </c>
      <c r="D69" s="41"/>
      <c r="E69" s="35" t="s">
        <v>2513</v>
      </c>
    </row>
    <row r="70" ht="36.0" customHeight="1">
      <c r="A70" s="43" t="s">
        <v>2575</v>
      </c>
      <c r="B70" s="44" t="s">
        <v>311</v>
      </c>
      <c r="C70" s="33" t="s">
        <v>64</v>
      </c>
      <c r="D70" s="45"/>
      <c r="E70" s="38" t="s">
        <v>2516</v>
      </c>
    </row>
    <row r="71" ht="36.0" customHeight="1">
      <c r="A71" s="39" t="s">
        <v>2576</v>
      </c>
      <c r="B71" s="40" t="s">
        <v>264</v>
      </c>
      <c r="C71" s="37" t="s">
        <v>54</v>
      </c>
      <c r="D71" s="41"/>
      <c r="E71" s="35" t="s">
        <v>2513</v>
      </c>
    </row>
    <row r="72" ht="36.0" customHeight="1">
      <c r="A72" s="43" t="s">
        <v>2577</v>
      </c>
      <c r="B72" s="44" t="s">
        <v>2578</v>
      </c>
      <c r="C72" s="37" t="s">
        <v>54</v>
      </c>
      <c r="D72" s="45"/>
      <c r="E72" s="38" t="s">
        <v>2516</v>
      </c>
    </row>
    <row r="73" ht="12.0" customHeight="1"/>
    <row r="74" ht="31.5" customHeight="1">
      <c r="A74" s="29" t="s">
        <v>2579</v>
      </c>
      <c r="B74" s="24"/>
      <c r="C74" s="24"/>
      <c r="D74" s="24"/>
      <c r="E74" s="25"/>
    </row>
    <row r="75" ht="39.75" customHeight="1">
      <c r="A75" s="30" t="s">
        <v>2580</v>
      </c>
      <c r="B75" s="24"/>
      <c r="C75" s="24"/>
      <c r="D75" s="24"/>
      <c r="E75" s="25"/>
    </row>
    <row r="76" ht="24.0" customHeight="1">
      <c r="A76" s="27" t="s">
        <v>2504</v>
      </c>
      <c r="B76" s="27" t="s">
        <v>2505</v>
      </c>
      <c r="C76" s="27" t="s">
        <v>2506</v>
      </c>
      <c r="D76" s="27" t="s">
        <v>2507</v>
      </c>
      <c r="E76" s="27" t="s">
        <v>2508</v>
      </c>
    </row>
    <row r="77" ht="36.0" customHeight="1">
      <c r="A77" s="31" t="s">
        <v>2581</v>
      </c>
      <c r="B77" s="32" t="s">
        <v>762</v>
      </c>
      <c r="C77" s="33" t="s">
        <v>64</v>
      </c>
      <c r="D77" s="34" t="s">
        <v>2512</v>
      </c>
      <c r="E77" s="38" t="s">
        <v>2516</v>
      </c>
    </row>
    <row r="78" ht="36.0" customHeight="1">
      <c r="A78" s="43" t="s">
        <v>2582</v>
      </c>
      <c r="B78" s="44" t="s">
        <v>1017</v>
      </c>
      <c r="C78" s="33" t="s">
        <v>64</v>
      </c>
      <c r="D78" s="45"/>
      <c r="E78" s="38" t="s">
        <v>2516</v>
      </c>
    </row>
    <row r="79" ht="36.0" customHeight="1">
      <c r="A79" s="39" t="s">
        <v>2583</v>
      </c>
      <c r="B79" s="40" t="s">
        <v>1017</v>
      </c>
      <c r="C79" s="33" t="s">
        <v>64</v>
      </c>
      <c r="D79" s="41"/>
      <c r="E79" s="38" t="s">
        <v>2516</v>
      </c>
    </row>
    <row r="80" ht="36.0" customHeight="1">
      <c r="A80" s="43" t="s">
        <v>2584</v>
      </c>
      <c r="B80" s="44" t="s">
        <v>180</v>
      </c>
      <c r="C80" s="37" t="s">
        <v>54</v>
      </c>
      <c r="D80" s="45"/>
      <c r="E80" s="35" t="s">
        <v>2513</v>
      </c>
    </row>
    <row r="81" ht="36.0" customHeight="1">
      <c r="A81" s="39" t="s">
        <v>2585</v>
      </c>
      <c r="B81" s="40" t="s">
        <v>180</v>
      </c>
      <c r="C81" s="37" t="s">
        <v>54</v>
      </c>
      <c r="D81" s="41"/>
      <c r="E81" s="35" t="s">
        <v>2513</v>
      </c>
    </row>
    <row r="82" ht="36.0" customHeight="1">
      <c r="A82" s="31" t="s">
        <v>2586</v>
      </c>
      <c r="B82" s="32" t="s">
        <v>755</v>
      </c>
      <c r="C82" s="36" t="s">
        <v>98</v>
      </c>
      <c r="D82" s="34" t="s">
        <v>2512</v>
      </c>
      <c r="E82" s="35" t="s">
        <v>2513</v>
      </c>
    </row>
    <row r="83" ht="36.0" customHeight="1">
      <c r="A83" s="31" t="s">
        <v>2587</v>
      </c>
      <c r="B83" s="32" t="s">
        <v>2588</v>
      </c>
      <c r="C83" s="42" t="s">
        <v>2589</v>
      </c>
      <c r="D83" s="34" t="s">
        <v>2512</v>
      </c>
      <c r="E83" s="46" t="s">
        <v>2590</v>
      </c>
    </row>
    <row r="84" ht="36.0" customHeight="1">
      <c r="A84" s="31" t="s">
        <v>2591</v>
      </c>
      <c r="B84" s="32" t="s">
        <v>868</v>
      </c>
      <c r="C84" s="33" t="s">
        <v>64</v>
      </c>
      <c r="D84" s="34" t="s">
        <v>2512</v>
      </c>
      <c r="E84" s="35" t="s">
        <v>2513</v>
      </c>
    </row>
    <row r="85" ht="36.0" customHeight="1">
      <c r="A85" s="39" t="s">
        <v>2592</v>
      </c>
      <c r="B85" s="40" t="s">
        <v>311</v>
      </c>
      <c r="C85" s="33" t="s">
        <v>64</v>
      </c>
      <c r="D85" s="41"/>
      <c r="E85" s="38" t="s">
        <v>2516</v>
      </c>
    </row>
    <row r="86" ht="36.0" customHeight="1">
      <c r="A86" s="31" t="s">
        <v>2593</v>
      </c>
      <c r="B86" s="32" t="s">
        <v>936</v>
      </c>
      <c r="C86" s="37" t="s">
        <v>54</v>
      </c>
      <c r="D86" s="34" t="s">
        <v>2512</v>
      </c>
      <c r="E86" s="38" t="s">
        <v>2516</v>
      </c>
    </row>
    <row r="87" ht="36.0" customHeight="1">
      <c r="A87" s="39" t="s">
        <v>2594</v>
      </c>
      <c r="B87" s="40" t="s">
        <v>1025</v>
      </c>
      <c r="C87" s="36" t="s">
        <v>98</v>
      </c>
      <c r="D87" s="41"/>
      <c r="E87" s="35" t="s">
        <v>2513</v>
      </c>
    </row>
    <row r="88" ht="36.0" customHeight="1">
      <c r="A88" s="31" t="s">
        <v>2595</v>
      </c>
      <c r="B88" s="32" t="s">
        <v>128</v>
      </c>
      <c r="C88" s="37" t="s">
        <v>54</v>
      </c>
      <c r="D88" s="34" t="s">
        <v>2512</v>
      </c>
      <c r="E88" s="35" t="s">
        <v>2513</v>
      </c>
    </row>
    <row r="89" ht="36.0" customHeight="1">
      <c r="A89" s="39" t="s">
        <v>2596</v>
      </c>
      <c r="B89" s="40" t="s">
        <v>755</v>
      </c>
      <c r="C89" s="36" t="s">
        <v>98</v>
      </c>
      <c r="D89" s="41"/>
      <c r="E89" s="35" t="s">
        <v>2513</v>
      </c>
    </row>
    <row r="90" ht="12.0" customHeight="1"/>
    <row r="91" ht="31.5" customHeight="1">
      <c r="A91" s="29" t="s">
        <v>2597</v>
      </c>
      <c r="B91" s="24"/>
      <c r="C91" s="24"/>
      <c r="D91" s="24"/>
      <c r="E91" s="25"/>
    </row>
    <row r="92" ht="39.75" customHeight="1">
      <c r="A92" s="30" t="s">
        <v>2598</v>
      </c>
      <c r="B92" s="24"/>
      <c r="C92" s="24"/>
      <c r="D92" s="24"/>
      <c r="E92" s="25"/>
    </row>
    <row r="93" ht="24.0" customHeight="1">
      <c r="A93" s="27" t="s">
        <v>2504</v>
      </c>
      <c r="B93" s="27" t="s">
        <v>2505</v>
      </c>
      <c r="C93" s="27" t="s">
        <v>2506</v>
      </c>
      <c r="D93" s="27" t="s">
        <v>2507</v>
      </c>
      <c r="E93" s="27" t="s">
        <v>2508</v>
      </c>
    </row>
    <row r="94" ht="36.0" customHeight="1">
      <c r="A94" s="31" t="s">
        <v>2599</v>
      </c>
      <c r="B94" s="32" t="s">
        <v>80</v>
      </c>
      <c r="C94" s="33" t="s">
        <v>64</v>
      </c>
      <c r="D94" s="34" t="s">
        <v>2512</v>
      </c>
      <c r="E94" s="38" t="s">
        <v>2516</v>
      </c>
    </row>
    <row r="95" ht="36.0" customHeight="1">
      <c r="A95" s="31" t="s">
        <v>2600</v>
      </c>
      <c r="B95" s="32" t="s">
        <v>2601</v>
      </c>
      <c r="C95" s="42" t="s">
        <v>73</v>
      </c>
      <c r="D95" s="34" t="s">
        <v>2512</v>
      </c>
      <c r="E95" s="38" t="s">
        <v>2516</v>
      </c>
    </row>
    <row r="96" ht="36.0" customHeight="1">
      <c r="A96" s="31" t="s">
        <v>2602</v>
      </c>
      <c r="B96" s="32" t="s">
        <v>2603</v>
      </c>
      <c r="C96" s="37" t="s">
        <v>54</v>
      </c>
      <c r="D96" s="34" t="s">
        <v>2512</v>
      </c>
      <c r="E96" s="35" t="s">
        <v>2513</v>
      </c>
    </row>
    <row r="97" ht="36.0" customHeight="1">
      <c r="A97" s="43" t="s">
        <v>2604</v>
      </c>
      <c r="B97" s="44" t="s">
        <v>279</v>
      </c>
      <c r="C97" s="36" t="s">
        <v>98</v>
      </c>
      <c r="D97" s="45"/>
      <c r="E97" s="35" t="s">
        <v>2513</v>
      </c>
    </row>
    <row r="98" ht="36.0" customHeight="1">
      <c r="A98" s="39" t="s">
        <v>2605</v>
      </c>
      <c r="B98" s="40" t="s">
        <v>410</v>
      </c>
      <c r="C98" s="36" t="s">
        <v>98</v>
      </c>
      <c r="D98" s="41"/>
      <c r="E98" s="38" t="s">
        <v>2516</v>
      </c>
    </row>
    <row r="99" ht="36.0" customHeight="1">
      <c r="A99" s="43" t="s">
        <v>2606</v>
      </c>
      <c r="B99" s="44" t="s">
        <v>89</v>
      </c>
      <c r="C99" s="42" t="s">
        <v>73</v>
      </c>
      <c r="D99" s="45"/>
      <c r="E99" s="38" t="s">
        <v>2516</v>
      </c>
    </row>
    <row r="100" ht="36.0" customHeight="1">
      <c r="A100" s="39" t="s">
        <v>2607</v>
      </c>
      <c r="B100" s="40" t="s">
        <v>89</v>
      </c>
      <c r="C100" s="42" t="s">
        <v>73</v>
      </c>
      <c r="D100" s="41"/>
      <c r="E100" s="38" t="s">
        <v>2516</v>
      </c>
    </row>
    <row r="101" ht="36.0" customHeight="1">
      <c r="A101" s="43" t="s">
        <v>2608</v>
      </c>
      <c r="B101" s="44" t="s">
        <v>80</v>
      </c>
      <c r="C101" s="33" t="s">
        <v>64</v>
      </c>
      <c r="D101" s="45"/>
      <c r="E101" s="38" t="s">
        <v>2516</v>
      </c>
    </row>
    <row r="102" ht="36.0" customHeight="1">
      <c r="A102" s="39" t="s">
        <v>2609</v>
      </c>
      <c r="B102" s="40" t="s">
        <v>286</v>
      </c>
      <c r="C102" s="33" t="s">
        <v>64</v>
      </c>
      <c r="D102" s="41"/>
      <c r="E102" s="38" t="s">
        <v>2516</v>
      </c>
    </row>
    <row r="103" ht="36.0" customHeight="1">
      <c r="A103" s="31" t="s">
        <v>2610</v>
      </c>
      <c r="B103" s="32" t="s">
        <v>2611</v>
      </c>
      <c r="C103" s="37" t="s">
        <v>54</v>
      </c>
      <c r="D103" s="34" t="s">
        <v>2512</v>
      </c>
      <c r="E103" s="38" t="s">
        <v>2516</v>
      </c>
    </row>
    <row r="104" ht="36.0" customHeight="1">
      <c r="A104" s="39" t="s">
        <v>2612</v>
      </c>
      <c r="B104" s="40" t="s">
        <v>2613</v>
      </c>
      <c r="C104" s="42" t="s">
        <v>2614</v>
      </c>
      <c r="D104" s="41"/>
      <c r="E104" s="46" t="s">
        <v>2590</v>
      </c>
    </row>
    <row r="105" ht="36.0" customHeight="1">
      <c r="A105" s="31" t="s">
        <v>2615</v>
      </c>
      <c r="B105" s="32" t="s">
        <v>690</v>
      </c>
      <c r="C105" s="36" t="s">
        <v>98</v>
      </c>
      <c r="D105" s="34" t="s">
        <v>2512</v>
      </c>
      <c r="E105" s="35" t="s">
        <v>2513</v>
      </c>
    </row>
    <row r="106" ht="36.0" customHeight="1">
      <c r="A106" s="31" t="s">
        <v>2616</v>
      </c>
      <c r="B106" s="32" t="s">
        <v>990</v>
      </c>
      <c r="C106" s="33" t="s">
        <v>64</v>
      </c>
      <c r="D106" s="34" t="s">
        <v>2512</v>
      </c>
      <c r="E106" s="35" t="s">
        <v>2513</v>
      </c>
    </row>
    <row r="107" ht="12.0" customHeight="1"/>
    <row r="108" ht="31.5" customHeight="1">
      <c r="A108" s="29" t="s">
        <v>2617</v>
      </c>
      <c r="B108" s="24"/>
      <c r="C108" s="24"/>
      <c r="D108" s="24"/>
      <c r="E108" s="25"/>
    </row>
    <row r="109" ht="39.75" customHeight="1">
      <c r="A109" s="30" t="s">
        <v>2618</v>
      </c>
      <c r="B109" s="24"/>
      <c r="C109" s="24"/>
      <c r="D109" s="24"/>
      <c r="E109" s="25"/>
    </row>
    <row r="110" ht="24.0" customHeight="1">
      <c r="A110" s="27" t="s">
        <v>2504</v>
      </c>
      <c r="B110" s="27" t="s">
        <v>2505</v>
      </c>
      <c r="C110" s="27" t="s">
        <v>2506</v>
      </c>
      <c r="D110" s="27" t="s">
        <v>2507</v>
      </c>
      <c r="E110" s="27" t="s">
        <v>2508</v>
      </c>
    </row>
    <row r="111" ht="36.0" customHeight="1">
      <c r="A111" s="39" t="s">
        <v>2619</v>
      </c>
      <c r="B111" s="40" t="s">
        <v>1128</v>
      </c>
      <c r="C111" s="36" t="s">
        <v>98</v>
      </c>
      <c r="D111" s="41"/>
      <c r="E111" s="35" t="s">
        <v>2513</v>
      </c>
    </row>
    <row r="112" ht="36.0" customHeight="1">
      <c r="A112" s="43" t="s">
        <v>2620</v>
      </c>
      <c r="B112" s="44" t="s">
        <v>1128</v>
      </c>
      <c r="C112" s="36" t="s">
        <v>98</v>
      </c>
      <c r="D112" s="45"/>
      <c r="E112" s="35" t="s">
        <v>2513</v>
      </c>
    </row>
    <row r="113" ht="36.0" customHeight="1">
      <c r="A113" s="39" t="s">
        <v>2621</v>
      </c>
      <c r="B113" s="40" t="s">
        <v>806</v>
      </c>
      <c r="C113" s="36" t="s">
        <v>98</v>
      </c>
      <c r="D113" s="41"/>
      <c r="E113" s="38" t="s">
        <v>2516</v>
      </c>
    </row>
    <row r="114" ht="36.0" customHeight="1">
      <c r="A114" s="43" t="s">
        <v>2622</v>
      </c>
      <c r="B114" s="44" t="s">
        <v>830</v>
      </c>
      <c r="C114" s="37" t="s">
        <v>54</v>
      </c>
      <c r="D114" s="45"/>
      <c r="E114" s="35" t="s">
        <v>2513</v>
      </c>
    </row>
    <row r="115" ht="36.0" customHeight="1">
      <c r="A115" s="39" t="s">
        <v>2623</v>
      </c>
      <c r="B115" s="40" t="s">
        <v>1025</v>
      </c>
      <c r="C115" s="36" t="s">
        <v>98</v>
      </c>
      <c r="D115" s="41"/>
      <c r="E115" s="35" t="s">
        <v>2513</v>
      </c>
    </row>
    <row r="116" ht="36.0" customHeight="1">
      <c r="A116" s="43" t="s">
        <v>2624</v>
      </c>
      <c r="B116" s="44" t="s">
        <v>640</v>
      </c>
      <c r="C116" s="33" t="s">
        <v>64</v>
      </c>
      <c r="D116" s="45"/>
      <c r="E116" s="35" t="s">
        <v>2513</v>
      </c>
    </row>
    <row r="117" ht="36.0" customHeight="1">
      <c r="A117" s="31" t="s">
        <v>2625</v>
      </c>
      <c r="B117" s="32" t="s">
        <v>640</v>
      </c>
      <c r="C117" s="33" t="s">
        <v>64</v>
      </c>
      <c r="D117" s="34" t="s">
        <v>2512</v>
      </c>
      <c r="E117" s="35" t="s">
        <v>2513</v>
      </c>
    </row>
    <row r="118" ht="36.0" customHeight="1">
      <c r="A118" s="43" t="s">
        <v>2626</v>
      </c>
      <c r="B118" s="44" t="s">
        <v>196</v>
      </c>
      <c r="C118" s="36" t="s">
        <v>98</v>
      </c>
      <c r="D118" s="45"/>
      <c r="E118" s="35" t="s">
        <v>2513</v>
      </c>
    </row>
    <row r="119" ht="36.0" customHeight="1">
      <c r="A119" s="31" t="s">
        <v>2627</v>
      </c>
      <c r="B119" s="32" t="s">
        <v>2628</v>
      </c>
      <c r="C119" s="37" t="s">
        <v>54</v>
      </c>
      <c r="D119" s="34" t="s">
        <v>2512</v>
      </c>
      <c r="E119" s="38" t="s">
        <v>2516</v>
      </c>
    </row>
    <row r="120" ht="36.0" customHeight="1">
      <c r="A120" s="43" t="s">
        <v>2629</v>
      </c>
      <c r="B120" s="44" t="s">
        <v>2630</v>
      </c>
      <c r="C120" s="33" t="s">
        <v>64</v>
      </c>
      <c r="D120" s="45"/>
      <c r="E120" s="35" t="s">
        <v>2513</v>
      </c>
    </row>
    <row r="121" ht="36.0" customHeight="1">
      <c r="A121" s="39" t="s">
        <v>2631</v>
      </c>
      <c r="B121" s="40" t="s">
        <v>477</v>
      </c>
      <c r="C121" s="33" t="s">
        <v>64</v>
      </c>
      <c r="D121" s="41"/>
      <c r="E121" s="38" t="s">
        <v>2516</v>
      </c>
    </row>
    <row r="122" ht="12.0" customHeight="1"/>
    <row r="123" ht="31.5" customHeight="1">
      <c r="A123" s="29" t="s">
        <v>2632</v>
      </c>
      <c r="B123" s="24"/>
      <c r="C123" s="24"/>
      <c r="D123" s="24"/>
      <c r="E123" s="25"/>
    </row>
    <row r="124" ht="39.75" customHeight="1">
      <c r="A124" s="30" t="s">
        <v>2633</v>
      </c>
      <c r="B124" s="24"/>
      <c r="C124" s="24"/>
      <c r="D124" s="24"/>
      <c r="E124" s="25"/>
    </row>
    <row r="125" ht="24.0" customHeight="1">
      <c r="A125" s="27" t="s">
        <v>2504</v>
      </c>
      <c r="B125" s="27" t="s">
        <v>2505</v>
      </c>
      <c r="C125" s="27" t="s">
        <v>2506</v>
      </c>
      <c r="D125" s="27" t="s">
        <v>2507</v>
      </c>
      <c r="E125" s="27" t="s">
        <v>2508</v>
      </c>
    </row>
    <row r="126" ht="36.0" customHeight="1">
      <c r="A126" s="39" t="s">
        <v>2634</v>
      </c>
      <c r="B126" s="40" t="s">
        <v>302</v>
      </c>
      <c r="C126" s="37" t="s">
        <v>54</v>
      </c>
      <c r="D126" s="41"/>
      <c r="E126" s="38" t="s">
        <v>2516</v>
      </c>
    </row>
    <row r="127" ht="36.0" customHeight="1">
      <c r="A127" s="43" t="s">
        <v>2635</v>
      </c>
      <c r="B127" s="44" t="s">
        <v>376</v>
      </c>
      <c r="C127" s="37" t="s">
        <v>54</v>
      </c>
      <c r="D127" s="45"/>
      <c r="E127" s="38" t="s">
        <v>2516</v>
      </c>
    </row>
    <row r="128" ht="36.0" customHeight="1">
      <c r="A128" s="39" t="s">
        <v>2636</v>
      </c>
      <c r="B128" s="40" t="s">
        <v>2637</v>
      </c>
      <c r="C128" s="42" t="s">
        <v>73</v>
      </c>
      <c r="D128" s="41"/>
      <c r="E128" s="38" t="s">
        <v>2516</v>
      </c>
    </row>
    <row r="129" ht="36.0" customHeight="1">
      <c r="A129" s="43" t="s">
        <v>2638</v>
      </c>
      <c r="B129" s="44" t="s">
        <v>462</v>
      </c>
      <c r="C129" s="37" t="s">
        <v>54</v>
      </c>
      <c r="D129" s="45"/>
      <c r="E129" s="35" t="s">
        <v>2513</v>
      </c>
    </row>
    <row r="130" ht="36.0" customHeight="1">
      <c r="A130" s="39" t="s">
        <v>2639</v>
      </c>
      <c r="B130" s="40" t="s">
        <v>640</v>
      </c>
      <c r="C130" s="33" t="s">
        <v>64</v>
      </c>
      <c r="D130" s="41"/>
      <c r="E130" s="35" t="s">
        <v>2513</v>
      </c>
    </row>
    <row r="131" ht="36.0" customHeight="1">
      <c r="A131" s="43" t="s">
        <v>2640</v>
      </c>
      <c r="B131" s="44" t="s">
        <v>72</v>
      </c>
      <c r="C131" s="42" t="s">
        <v>73</v>
      </c>
      <c r="D131" s="45"/>
      <c r="E131" s="35" t="s">
        <v>2513</v>
      </c>
    </row>
    <row r="132" ht="36.0" customHeight="1">
      <c r="A132" s="39" t="s">
        <v>2641</v>
      </c>
      <c r="B132" s="40" t="s">
        <v>1090</v>
      </c>
      <c r="C132" s="42" t="s">
        <v>73</v>
      </c>
      <c r="D132" s="41"/>
      <c r="E132" s="38" t="s">
        <v>2516</v>
      </c>
    </row>
    <row r="133" ht="36.0" customHeight="1">
      <c r="A133" s="43" t="s">
        <v>2642</v>
      </c>
      <c r="B133" s="44" t="s">
        <v>524</v>
      </c>
      <c r="C133" s="36" t="s">
        <v>98</v>
      </c>
      <c r="D133" s="45"/>
      <c r="E133" s="35" t="s">
        <v>2513</v>
      </c>
    </row>
    <row r="134" ht="36.0" customHeight="1">
      <c r="A134" s="39" t="s">
        <v>2643</v>
      </c>
      <c r="B134" s="40" t="s">
        <v>477</v>
      </c>
      <c r="C134" s="33" t="s">
        <v>64</v>
      </c>
      <c r="D134" s="41"/>
      <c r="E134" s="38" t="s">
        <v>2516</v>
      </c>
    </row>
    <row r="135" ht="36.0" customHeight="1">
      <c r="A135" s="43" t="s">
        <v>2644</v>
      </c>
      <c r="B135" s="44" t="s">
        <v>2645</v>
      </c>
      <c r="C135" s="37" t="s">
        <v>54</v>
      </c>
      <c r="D135" s="45"/>
      <c r="E135" s="38" t="s">
        <v>2516</v>
      </c>
    </row>
    <row r="136" ht="36.0" customHeight="1">
      <c r="A136" s="39" t="s">
        <v>2646</v>
      </c>
      <c r="B136" s="40" t="s">
        <v>2647</v>
      </c>
      <c r="C136" s="37" t="s">
        <v>2648</v>
      </c>
      <c r="D136" s="41"/>
      <c r="E136" s="38" t="s">
        <v>2516</v>
      </c>
    </row>
    <row r="137" ht="36.0" customHeight="1">
      <c r="A137" s="43" t="s">
        <v>2649</v>
      </c>
      <c r="B137" s="44" t="s">
        <v>2645</v>
      </c>
      <c r="C137" s="37" t="s">
        <v>54</v>
      </c>
      <c r="D137" s="45"/>
      <c r="E137" s="38" t="s">
        <v>2516</v>
      </c>
    </row>
    <row r="138" ht="36.0" customHeight="1">
      <c r="A138" s="39" t="s">
        <v>2650</v>
      </c>
      <c r="B138" s="40" t="s">
        <v>2645</v>
      </c>
      <c r="C138" s="37" t="s">
        <v>54</v>
      </c>
      <c r="D138" s="41"/>
      <c r="E138" s="38" t="s">
        <v>2516</v>
      </c>
    </row>
    <row r="139" ht="36.0" customHeight="1">
      <c r="A139" s="43" t="s">
        <v>2651</v>
      </c>
      <c r="B139" s="44" t="s">
        <v>551</v>
      </c>
      <c r="C139" s="37" t="s">
        <v>54</v>
      </c>
      <c r="D139" s="45"/>
      <c r="E139" s="35" t="s">
        <v>2513</v>
      </c>
    </row>
    <row r="140" ht="36.0" customHeight="1">
      <c r="A140" s="39" t="s">
        <v>2652</v>
      </c>
      <c r="B140" s="40" t="s">
        <v>477</v>
      </c>
      <c r="C140" s="33" t="s">
        <v>64</v>
      </c>
      <c r="D140" s="41"/>
      <c r="E140" s="38" t="s">
        <v>2516</v>
      </c>
    </row>
    <row r="141" ht="36.0" customHeight="1">
      <c r="A141" s="43" t="s">
        <v>2653</v>
      </c>
      <c r="B141" s="44" t="s">
        <v>279</v>
      </c>
      <c r="C141" s="36" t="s">
        <v>98</v>
      </c>
      <c r="D141" s="45"/>
      <c r="E141" s="35" t="s">
        <v>2513</v>
      </c>
    </row>
    <row r="142" ht="36.0" customHeight="1">
      <c r="A142" s="39" t="s">
        <v>2654</v>
      </c>
      <c r="B142" s="40" t="s">
        <v>325</v>
      </c>
      <c r="C142" s="36" t="s">
        <v>98</v>
      </c>
      <c r="D142" s="41"/>
      <c r="E142" s="35" t="s">
        <v>2513</v>
      </c>
    </row>
    <row r="143" ht="36.0" customHeight="1">
      <c r="A143" s="43" t="s">
        <v>2655</v>
      </c>
      <c r="B143" s="44" t="s">
        <v>690</v>
      </c>
      <c r="C143" s="36" t="s">
        <v>98</v>
      </c>
      <c r="D143" s="45"/>
      <c r="E143" s="35" t="s">
        <v>2513</v>
      </c>
    </row>
    <row r="144" ht="36.0" customHeight="1">
      <c r="A144" s="39" t="s">
        <v>2656</v>
      </c>
      <c r="B144" s="40" t="s">
        <v>166</v>
      </c>
      <c r="C144" s="33" t="s">
        <v>64</v>
      </c>
      <c r="D144" s="41"/>
      <c r="E144" s="38" t="s">
        <v>2516</v>
      </c>
    </row>
    <row r="145" ht="36.0" customHeight="1">
      <c r="A145" s="43" t="s">
        <v>2657</v>
      </c>
      <c r="B145" s="44" t="s">
        <v>218</v>
      </c>
      <c r="C145" s="33" t="s">
        <v>64</v>
      </c>
      <c r="D145" s="45"/>
      <c r="E145" s="35" t="s">
        <v>2513</v>
      </c>
    </row>
    <row r="146" ht="36.0" customHeight="1">
      <c r="A146" s="39" t="s">
        <v>2658</v>
      </c>
      <c r="B146" s="40" t="s">
        <v>396</v>
      </c>
      <c r="C146" s="36" t="s">
        <v>98</v>
      </c>
      <c r="D146" s="41"/>
      <c r="E146" s="35" t="s">
        <v>2513</v>
      </c>
    </row>
    <row r="147" ht="36.0" customHeight="1">
      <c r="A147" s="43" t="s">
        <v>2659</v>
      </c>
      <c r="B147" s="44" t="s">
        <v>2660</v>
      </c>
      <c r="C147" s="36" t="s">
        <v>98</v>
      </c>
      <c r="D147" s="45"/>
      <c r="E147" s="35" t="s">
        <v>2513</v>
      </c>
    </row>
    <row r="148" ht="36.0" customHeight="1">
      <c r="A148" s="39" t="s">
        <v>2661</v>
      </c>
      <c r="B148" s="40" t="s">
        <v>2662</v>
      </c>
      <c r="C148" s="37" t="s">
        <v>54</v>
      </c>
      <c r="D148" s="41"/>
      <c r="E148" s="38" t="s">
        <v>2516</v>
      </c>
    </row>
    <row r="149" ht="12.0" customHeight="1"/>
    <row r="150" ht="15.75" customHeight="1"/>
    <row r="151" ht="24.0" customHeight="1">
      <c r="A151" s="47" t="s">
        <v>2663</v>
      </c>
      <c r="B151" s="24"/>
      <c r="C151" s="24"/>
      <c r="D151" s="24"/>
      <c r="E151" s="25"/>
    </row>
    <row r="152" ht="27.75" customHeight="1">
      <c r="A152" s="48" t="s">
        <v>2512</v>
      </c>
      <c r="B152" s="49" t="s">
        <v>2664</v>
      </c>
      <c r="C152" s="50"/>
      <c r="D152" s="50"/>
      <c r="E152" s="51"/>
    </row>
    <row r="153" ht="27.75" customHeight="1">
      <c r="A153" s="52" t="s">
        <v>2665</v>
      </c>
      <c r="B153" s="53" t="s">
        <v>2666</v>
      </c>
      <c r="C153" s="50"/>
      <c r="D153" s="50"/>
      <c r="E153" s="51"/>
    </row>
    <row r="154" ht="27.75" customHeight="1">
      <c r="A154" s="54" t="s">
        <v>2667</v>
      </c>
      <c r="B154" s="55" t="s">
        <v>2668</v>
      </c>
      <c r="C154" s="50"/>
      <c r="D154" s="50"/>
      <c r="E154" s="51"/>
    </row>
    <row r="155" ht="27.75" customHeight="1">
      <c r="A155" s="56" t="s">
        <v>2669</v>
      </c>
      <c r="B155" s="57" t="s">
        <v>2670</v>
      </c>
      <c r="C155" s="50"/>
      <c r="D155" s="50"/>
      <c r="E155" s="51"/>
    </row>
    <row r="156" ht="27.75" customHeight="1">
      <c r="A156" s="58" t="s">
        <v>2671</v>
      </c>
      <c r="B156" s="59" t="s">
        <v>2672</v>
      </c>
      <c r="C156" s="50"/>
      <c r="D156" s="50"/>
      <c r="E156" s="51"/>
    </row>
    <row r="157" ht="15.75" customHeight="1"/>
  </sheetData>
  <mergeCells count="24">
    <mergeCell ref="A1:E1"/>
    <mergeCell ref="A2:E2"/>
    <mergeCell ref="A5:E5"/>
    <mergeCell ref="A6:E6"/>
    <mergeCell ref="A18:E18"/>
    <mergeCell ref="A19:E19"/>
    <mergeCell ref="A34:E34"/>
    <mergeCell ref="A35:E35"/>
    <mergeCell ref="A50:E50"/>
    <mergeCell ref="A51:E51"/>
    <mergeCell ref="A74:E74"/>
    <mergeCell ref="A75:E75"/>
    <mergeCell ref="A91:E91"/>
    <mergeCell ref="A92:E92"/>
    <mergeCell ref="B154:E154"/>
    <mergeCell ref="B155:E155"/>
    <mergeCell ref="B156:E156"/>
    <mergeCell ref="A108:E108"/>
    <mergeCell ref="A109:E109"/>
    <mergeCell ref="A123:E123"/>
    <mergeCell ref="A124:E124"/>
    <mergeCell ref="A151:E151"/>
    <mergeCell ref="B152:E152"/>
    <mergeCell ref="B153:E153"/>
  </mergeCells>
  <printOptions/>
  <pageMargins bottom="1.0" footer="0.0" header="0.0" left="0.75" right="0.75" top="1.0"/>
  <pageSetup orientation="portrait"/>
  <drawing r:id="rId1"/>
</worksheet>
</file>